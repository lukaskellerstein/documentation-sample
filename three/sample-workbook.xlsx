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hart3.xml" ContentType="application/vnd.openxmlformats-officedocument.drawingml.chart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1.xml" ContentType="application/vnd.ms-office.chartstyle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Throughput" sheetId="3" state="visible" r:id="rId5"/>
    <sheet name="Latency" sheetId="4" state="visible" r:id="rId6"/>
    <sheet name="Shadow run" sheetId="5" state="visible" r:id="rId7"/>
    <sheet name="Cost model" sheetId="6" state="visible" r:id="rId8"/>
    <sheet name="Risk register" sheetId="7" state="visible" r:id="rId9"/>
    <sheet name="Readiness" sheetId="8" state="visible" r:id="rId10"/>
  </sheets>
  <definedNames>
    <definedName function="false" hidden="false" localSheetId="1" name="_xlnm.Print_Titles" vbProcedure="false">Assumptions!$4:$4</definedName>
    <definedName function="false" hidden="false" localSheetId="5" name="_xlnm.Print_Titles" vbProcedure="false">'Cost model'!$4:$4</definedName>
    <definedName function="false" hidden="false" localSheetId="3" name="_xlnm.Print_Titles" vbProcedure="false">Latency!$4:$4</definedName>
    <definedName function="false" hidden="false" localSheetId="7" name="_xlnm.Print_Titles" vbProcedure="false">Readiness!$4:$4</definedName>
    <definedName function="false" hidden="false" localSheetId="6" name="_xlnm.Print_Titles" vbProcedure="false">'Risk register'!$4:$4</definedName>
    <definedName function="false" hidden="false" localSheetId="4" name="_xlnm.Print_Titles" vbProcedure="false">'Shadow run'!$4:$4</definedName>
    <definedName function="false" hidden="true" localSheetId="4" name="_xlnm._FilterDatabase" vbProcedure="false">'Shadow run'!$A$4:$G$25</definedName>
    <definedName function="false" hidden="false" localSheetId="2" name="_xlnm.Print_Titles" vbProcedure="false">Throughput!$4:$4</definedName>
    <definedName function="false" hidden="false" name="CostPerWeek" vbProcedure="false">Assumptions!$B$6</definedName>
    <definedName function="false" hidden="false" name="EntriesCompared" vbProcedure="false">Assumptions!$B$13</definedName>
    <definedName function="false" hidden="false" name="MigrationWeeks" vbProcedure="false">Assumptions!$B$5</definedName>
    <definedName function="false" hidden="false" name="RiskGateThreshold" vbProcedure="false">Assumptions!$B$10</definedName>
    <definedName function="false" hidden="false" name="RTOMinutes" vbProcedure="false">Assumptions!$B$12</definedName>
    <definedName function="false" hidden="false" name="ShadowDays" vbProcedure="false">Assumptions!$B$11</definedName>
    <definedName function="false" hidden="false" name="VolumeGrowth" vbProcedure="false">Assumptions!$B$7</definedName>
    <definedName function="false" hidden="false" name="WarmFleetDailyCost" vbProcedure="false">Assumptions!$B$9</definedName>
    <definedName function="false" hidden="false" name="WarmFleetDays" vbProcedure="false">Assumptions!$B$8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<sst xmlns="http://schemas.openxmlformats.org/spreadsheetml/2006/main" count="250" uniqueCount="199">
  <si>
    <t>Ledger Service v3 — Assessment Workbook</t>
  </si>
  <si>
    <t>Every figure in report PE-RA-2026-014 Rev. C, with the arithmetic left in place.</t>
  </si>
  <si>
    <t>Document</t>
  </si>
  <si>
    <t>PE-RA-2026-014 · Revision C</t>
  </si>
  <si>
    <t>Prepared by</t>
  </si>
  <si>
    <t>A. Reyes (lead), M. Farouk, J. Lindqvist</t>
  </si>
  <si>
    <t>Prepared for</t>
  </si>
  <si>
    <t>R. Halversen, VP Engineering</t>
  </si>
  <si>
    <t>Date</t>
  </si>
  <si>
    <t>Classification</t>
  </si>
  <si>
    <t>Internal — Confidential</t>
  </si>
  <si>
    <t>Sheet</t>
  </si>
  <si>
    <t>What it holds</t>
  </si>
  <si>
    <t>Assumptions</t>
  </si>
  <si>
    <t>Every input the rest of the workbook reads. Blue cells are the only things to edit.</t>
  </si>
  <si>
    <t>Throughput</t>
  </si>
  <si>
    <t>Sustained transactions per second by workload, v2.7 against v3.0.</t>
  </si>
  <si>
    <t>Latency</t>
  </si>
  <si>
    <t>p95 latency per endpoint against its published objective.</t>
  </si>
  <si>
    <t>Shadow run</t>
  </si>
  <si>
    <t>Twenty-one days of entry-by-entry comparison, day by day.</t>
  </si>
  <si>
    <t>Cost model</t>
  </si>
  <si>
    <t>Monthly infrastructure cost, the saving, and the payback period.</t>
  </si>
  <si>
    <t>Risk register</t>
  </si>
  <si>
    <t>Open risks, scored. Anything at 12 or above gates the cutover.</t>
  </si>
  <si>
    <t>Readiness</t>
  </si>
  <si>
    <t>The operational checklist and how much of it is done.</t>
  </si>
  <si>
    <t>Headline figures</t>
  </si>
  <si>
    <t>Entries compared</t>
  </si>
  <si>
    <t>Mismatches recorded</t>
  </si>
  <si>
    <t>Mismatch rate</t>
  </si>
  <si>
    <t>Saved every month</t>
  </si>
  <si>
    <t>Payback period (months)</t>
  </si>
  <si>
    <t>Risks that gate the cutover</t>
  </si>
  <si>
    <t>Readiness items complete</t>
  </si>
  <si>
    <t>Conventions</t>
  </si>
  <si>
    <t>Blue text</t>
  </si>
  <si>
    <t>A hard-coded input. Change these and the workbook follows.</t>
  </si>
  <si>
    <t>Black text</t>
  </si>
  <si>
    <t>A formula. Do not overwrite it with a number.</t>
  </si>
  <si>
    <t>Named ranges</t>
  </si>
  <si>
    <t>MigrationWeeks, CostPerWeek, VolumeGrowth, WarmFleetDays, WarmFleetDailyCost, RiskGateThreshold, EntriesCompared.</t>
  </si>
  <si>
    <t>Sample workbook. All names, figures and findings are invented.</t>
  </si>
  <si>
    <t>Section references point at PE-RA-2026-014 Rev. C. Blue cells are inputs; nothing here is derived.</t>
  </si>
  <si>
    <t>Parameter</t>
  </si>
  <si>
    <t>Value</t>
  </si>
  <si>
    <t>Unit</t>
  </si>
  <si>
    <t>Source</t>
  </si>
  <si>
    <t>MigrationWeeks</t>
  </si>
  <si>
    <t>engineer-weeks</t>
  </si>
  <si>
    <t>§4</t>
  </si>
  <si>
    <t>CostPerWeek</t>
  </si>
  <si>
    <t>$ per engineer-week</t>
  </si>
  <si>
    <t>VolumeGrowth</t>
  </si>
  <si>
    <t>fraction, next 12 months</t>
  </si>
  <si>
    <t>Finance forecast</t>
  </si>
  <si>
    <t>WarmFleetDays</t>
  </si>
  <si>
    <t>days v2.7 stays warm</t>
  </si>
  <si>
    <t>§6.4</t>
  </si>
  <si>
    <t>WarmFleetDailyCost</t>
  </si>
  <si>
    <t>$ per day</t>
  </si>
  <si>
    <t>RiskGateThreshold</t>
  </si>
  <si>
    <t>score that gates cutover</t>
  </si>
  <si>
    <t>PE-STD-004</t>
  </si>
  <si>
    <t>ShadowDays</t>
  </si>
  <si>
    <t>days of shadow traffic</t>
  </si>
  <si>
    <t>§2.1</t>
  </si>
  <si>
    <t>RTOMinutes</t>
  </si>
  <si>
    <t>minutes, recovery objective</t>
  </si>
  <si>
    <t>§5 R-04</t>
  </si>
  <si>
    <t>EntriesCompared</t>
  </si>
  <si>
    <t>entries in the shadow run</t>
  </si>
  <si>
    <t>§3.3</t>
  </si>
  <si>
    <t>One-time migration cost</t>
  </si>
  <si>
    <t>derived from the two rows above</t>
  </si>
  <si>
    <t>Cost of keeping v2.7 warm</t>
  </si>
  <si>
    <t>seven days longer than first planned</t>
  </si>
  <si>
    <t>Throughput by workload</t>
  </si>
  <si>
    <t>Sustained transactions per second, median of three 45-minute soaks on identical hardware.</t>
  </si>
  <si>
    <t>Workload</t>
  </si>
  <si>
    <t>v2.7 baseline</t>
  </si>
  <si>
    <t>v3.0 candidate</t>
  </si>
  <si>
    <t>Change</t>
  </si>
  <si>
    <t>Direction</t>
  </si>
  <si>
    <t>Posting, single entry</t>
  </si>
  <si>
    <t>Posting, batch of 500</t>
  </si>
  <si>
    <t>Balance read, cached</t>
  </si>
  <si>
    <t>Balance read, cold</t>
  </si>
  <si>
    <t>Reversal</t>
  </si>
  <si>
    <t>The cold-read regression follows from the new cache key layout: entries that used to share a key now sit in separate slots, so a flush costs more to recover from. Pre-warming closes most of the gap.</t>
  </si>
  <si>
    <t>Latency against objectives</t>
  </si>
  <si>
    <t>p95 at peak load, measured at the load generator rather than inside the service.</t>
  </si>
  <si>
    <t>Endpoint</t>
  </si>
  <si>
    <t>v2.7 p95</t>
  </si>
  <si>
    <t>v3.0 p95</t>
  </si>
  <si>
    <t>Objective</t>
  </si>
  <si>
    <t>Headroom</t>
  </si>
  <si>
    <t>Verdict</t>
  </si>
  <si>
    <t>POST /entries</t>
  </si>
  <si>
    <t>GET /accounts/{id}/balance</t>
  </si>
  <si>
    <t>POST /reversals</t>
  </si>
  <si>
    <t>GET /statements (90-day range)</t>
  </si>
  <si>
    <t>Endpoints inside objective</t>
  </si>
  <si>
    <t>Worst miss</t>
  </si>
  <si>
    <t>Blocker B-1. A query plan diff traced the statement regression to a missing covering index on the new partition scheme. The fix is queued for 3.0.5 and must land before Phase 2.</t>
  </si>
  <si>
    <t>Shadow run, day by day</t>
  </si>
  <si>
    <t>Every live request was copied to v3.0 and its response discarded. Only the resulting ledger entries were compared.</t>
  </si>
  <si>
    <t>Day</t>
  </si>
  <si>
    <t>Mismatches</t>
  </si>
  <si>
    <t>Cumulative</t>
  </si>
  <si>
    <t>Rate to date</t>
  </si>
  <si>
    <t>Build under test</t>
  </si>
  <si>
    <t>3.0.3</t>
  </si>
  <si>
    <t>3.0.3 → 3.0.4</t>
  </si>
  <si>
    <t>3.0.4</t>
  </si>
  <si>
    <t>Total</t>
  </si>
  <si>
    <t>Entries expected (Assumptions)</t>
  </si>
  <si>
    <t>Check</t>
  </si>
  <si>
    <t>Mismatches after 3.0.4 shipped</t>
  </si>
  <si>
    <t>Projected monthly infrastructure cost at current production volume, and what happens when volume grows.</t>
  </si>
  <si>
    <t>Line item</t>
  </si>
  <si>
    <t>v2.7 / month</t>
  </si>
  <si>
    <t>v3.0 / month</t>
  </si>
  <si>
    <t>Change %</t>
  </si>
  <si>
    <t>Scales with posting rate</t>
  </si>
  <si>
    <t>Compute — API tier</t>
  </si>
  <si>
    <t>Yes</t>
  </si>
  <si>
    <t>Compute — worker tier</t>
  </si>
  <si>
    <t>No</t>
  </si>
  <si>
    <t>Managed PostgreSQL</t>
  </si>
  <si>
    <t>Redis cache</t>
  </si>
  <si>
    <t>Object storage and egress</t>
  </si>
  <si>
    <t>Observability</t>
  </si>
  <si>
    <t>Payback</t>
  </si>
  <si>
    <t>Migration effort</t>
  </si>
  <si>
    <t>Cost per engineer-week</t>
  </si>
  <si>
    <t>Payback period</t>
  </si>
  <si>
    <t>At the volume Finance forecasts</t>
  </si>
  <si>
    <t>Volume growth</t>
  </si>
  <si>
    <t>v2.7 cost at forecast volume</t>
  </si>
  <si>
    <t>v3.0 cost at forecast volume</t>
  </si>
  <si>
    <t>Saving at forecast volume</t>
  </si>
  <si>
    <t>Finance's own model puts the forecast saving nearer $4,900 a month. It assumes the worker and cache tiers grow more slowly than posting volume; this sheet holds them flat, which is the cautious reading.</t>
  </si>
  <si>
    <t>Score is likelihood multiplied by impact, both on a 1-5 scale. Scoring follows PE-STD-004.</t>
  </si>
  <si>
    <t>ID</t>
  </si>
  <si>
    <t>Risk</t>
  </si>
  <si>
    <t>Likelihood</t>
  </si>
  <si>
    <t>Impact</t>
  </si>
  <si>
    <t>Score</t>
  </si>
  <si>
    <t>Gates cutover</t>
  </si>
  <si>
    <t>Owner</t>
  </si>
  <si>
    <t>Mitigation</t>
  </si>
  <si>
    <t>R-01</t>
  </si>
  <si>
    <t>Statement endpoint misses its latency objective</t>
  </si>
  <si>
    <t>M. Farouk</t>
  </si>
  <si>
    <t>Add the covering index; ship in 3.0.5 before cutover</t>
  </si>
  <si>
    <t>R-02</t>
  </si>
  <si>
    <t>Dual-write drift during the cutover window</t>
  </si>
  <si>
    <t>A. Reyes</t>
  </si>
  <si>
    <t>Freeze writes for 90 s, reconcile before opening traffic</t>
  </si>
  <si>
    <t>R-03</t>
  </si>
  <si>
    <t>Foreign-exchange rounding defect returns after 3.0.4</t>
  </si>
  <si>
    <t>J. Lindqvist</t>
  </si>
  <si>
    <t>Property-based test in CI across 10 million generated cases</t>
  </si>
  <si>
    <t>R-04</t>
  </si>
  <si>
    <t>Rollback exceeds the 30-minute recovery objective</t>
  </si>
  <si>
    <t>Rehearse twice; keep v2.7 warm for 14 days</t>
  </si>
  <si>
    <t>R-05</t>
  </si>
  <si>
    <t>On-call rotation unfamiliar with the new runbook</t>
  </si>
  <si>
    <t>S. Okafor</t>
  </si>
  <si>
    <t>Two game days completed before cutover</t>
  </si>
  <si>
    <t>R-06</t>
  </si>
  <si>
    <t>Cold-read regression bites under a cache flush</t>
  </si>
  <si>
    <t>Pre-warm the cache; roll out in 5% stages</t>
  </si>
  <si>
    <t>Highest score</t>
  </si>
  <si>
    <t>Gate threshold</t>
  </si>
  <si>
    <t>Operational readiness</t>
  </si>
  <si>
    <t>The checklist as it stood on 21 August 2026. Status is a dropdown; the counts below follow it.</t>
  </si>
  <si>
    <t>Area</t>
  </si>
  <si>
    <t>Status</t>
  </si>
  <si>
    <t>Evidence</t>
  </si>
  <si>
    <t>Runbooks rewritten</t>
  </si>
  <si>
    <t>Complete</t>
  </si>
  <si>
    <t>PE-DOC-311, reviewed 4 August</t>
  </si>
  <si>
    <t>Dashboards and alerts</t>
  </si>
  <si>
    <t>18 panels, 11 alert rules</t>
  </si>
  <si>
    <t>Rollback rehearsal</t>
  </si>
  <si>
    <t>Not started</t>
  </si>
  <si>
    <t>Blocker B-2</t>
  </si>
  <si>
    <t>Game days (2 required)</t>
  </si>
  <si>
    <t>In progress</t>
  </si>
  <si>
    <t>1 of 2 done — blocker B-3</t>
  </si>
  <si>
    <t>Backup and restore drill</t>
  </si>
  <si>
    <t>Restored 412M rows in 24 minutes</t>
  </si>
  <si>
    <t>Capacity headroom of 40% or more</t>
  </si>
  <si>
    <t>Measured 61% at peak</t>
  </si>
  <si>
    <t>Items on the checklist</t>
  </si>
  <si>
    <t>Share complete</t>
  </si>
  <si>
    <t>The two open items are blockers B-2 and B-3. Both have a named owner and a dated exit; see the risk register and section 6 of the report.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</si>
</sst>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-mm\-dd"/>
    <numFmt numFmtId="166" formatCode="#,##0"/>
    <numFmt numFmtId="167" formatCode="0.00E+00"/>
    <numFmt numFmtId="168" formatCode="\$#,##0"/>
    <numFmt numFmtId="169" formatCode="0.0"/>
    <numFmt numFmtId="170" formatCode="0.0%"/>
    <numFmt numFmtId="171" formatCode="#,##0&quot; ms&quot;"/>
    <numFmt numFmtId="172" formatCode="\$#,##0;&quot;-$&quot;#,##0;\—"/>
    <numFmt numFmtId="173" formatCode="0.0&quot; weeks&quot;"/>
    <numFmt numFmtId="174" formatCode="0.0&quot; months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514F"/>
      <name val="Calibri"/>
      <family val="0"/>
      <charset val="1"/>
    </font>
    <font>
      <i val="true"/>
      <sz val="10"/>
      <color rgb="FF6B7A78"/>
      <name val="Calibri"/>
      <family val="0"/>
      <charset val="1"/>
    </font>
    <font>
      <b val="true"/>
      <sz val="11"/>
      <color rgb="FF2A363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14514F"/>
      <name val="Calibri"/>
      <family val="0"/>
      <charset val="1"/>
    </font>
    <font>
      <sz val="11"/>
      <color rgb="FF1F4E9C"/>
      <name val="Calibri"/>
      <family val="0"/>
      <charset val="1"/>
    </font>
    <font>
      <i val="true"/>
      <sz val="9"/>
      <color rgb="FF6B7A78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4514F"/>
        <bgColor rgb="FF2A3634"/>
      </patternFill>
    </fill>
    <fill>
      <patternFill patternType="solid">
        <fgColor rgb="FFEEF2F1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CDB"/>
      </left>
      <right style="thin">
        <color rgb="FFD5DCDB"/>
      </right>
      <top style="thin">
        <color rgb="FFD5DCDB"/>
      </top>
      <bottom style="thin">
        <color rgb="FFD5DCDB"/>
      </bottom>
      <diagonal/>
    </border>
    <border diagonalUp="false" diagonalDown="false">
      <left/>
      <right/>
      <top style="medium">
        <color rgb="FF14514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ont>
        <b val="1"/>
        <color rgb="FFA83E28"/>
      </font>
      <fill>
        <patternFill>
          <bgColor rgb="FFF7DDD6"/>
        </patternFill>
      </fill>
    </dxf>
    <dxf>
      <font>
        <b val="1"/>
        <color rgb="FFA83E28"/>
      </font>
    </dxf>
    <dxf>
      <fill>
        <patternFill patternType="solid">
          <fgColor rgb="FF14514F"/>
          <bgColor rgb="FF000000"/>
        </patternFill>
      </fill>
    </dxf>
    <dxf>
      <fill>
        <patternFill patternType="solid">
          <fgColor rgb="FFEEF2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4E9C"/>
          <bgColor rgb="FF000000"/>
        </patternFill>
      </fill>
    </dxf>
    <dxf>
      <fill>
        <patternFill patternType="solid">
          <fgColor rgb="FFE8B4A4"/>
          <bgColor rgb="FF000000"/>
        </patternFill>
      </fill>
    </dxf>
    <dxf>
      <fill>
        <patternFill patternType="solid">
          <fgColor rgb="FFEDC3B7"/>
          <bgColor rgb="FF000000"/>
        </patternFill>
      </fill>
    </dxf>
    <dxf>
      <fill>
        <patternFill patternType="solid">
          <fgColor rgb="FFF2D2C9"/>
          <bgColor rgb="FF000000"/>
        </patternFill>
      </fill>
    </dxf>
    <dxf>
      <fill>
        <patternFill patternType="solid">
          <fgColor rgb="FFF6E1DB"/>
          <bgColor rgb="FF000000"/>
        </patternFill>
      </fill>
    </dxf>
    <dxf>
      <fill>
        <patternFill patternType="solid">
          <fgColor rgb="FFFBF0ED"/>
          <bgColor rgb="FF000000"/>
        </patternFill>
      </fill>
    </dxf>
    <dxf>
      <font>
        <b val="1"/>
        <color rgb="FF14514F"/>
      </font>
    </dxf>
    <dxf>
      <font>
        <b val="1"/>
        <color rgb="FF2A3634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B3B0"/>
      <rgbColor rgb="FF878787"/>
      <rgbColor rgb="FF9999FF"/>
      <rgbColor rgb="FF993366"/>
      <rgbColor rgb="FFEEF2F1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DCDB"/>
      <rgbColor rgb="FFFFFF99"/>
      <rgbColor rgb="FF99CCFF"/>
      <rgbColor rgb="FFFF99CC"/>
      <rgbColor rgb="FFCC99FF"/>
      <rgbColor rgb="FFF7DDD6"/>
      <rgbColor rgb="FF3366FF"/>
      <rgbColor rgb="FF33CCCC"/>
      <rgbColor rgb="FF99CC00"/>
      <rgbColor rgb="FFFFCC00"/>
      <rgbColor rgb="FFFF9900"/>
      <rgbColor rgb="FFFF6600"/>
      <rgbColor rgb="FF6B7A78"/>
      <rgbColor rgb="FF969696"/>
      <rgbColor rgb="FF14514F"/>
      <rgbColor rgb="FF339966"/>
      <rgbColor rgb="FF003300"/>
      <rgbColor rgb="FF333300"/>
      <rgbColor rgb="FFA83E28"/>
      <rgbColor rgb="FF993366"/>
      <rgbColor rgb="FF1F4E9C"/>
      <rgbColor rgb="FF2A36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Change against v2.7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Throughput!D4</c:f>
              <c:strCache>
                <c:ptCount val="1"/>
                <c:pt idx="0">
                  <c:v>Change</c:v>
                </c:pt>
              </c:strCache>
            </c:strRef>
          </c:tx>
          <c:spPr>
            <a:solidFill>
              <a:srgbClr val="14514F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Throughput!$A$5:$A$9</c:f>
              <c:strCache>
                <c:ptCount val="5"/>
                <c:pt idx="0">
                  <c:v>Posting, single entry</c:v>
                </c:pt>
                <c:pt idx="1">
                  <c:v>Posting, batch of 500</c:v>
                </c:pt>
                <c:pt idx="2">
                  <c:v>Balance read, cached</c:v>
                </c:pt>
                <c:pt idx="3">
                  <c:v>Balance read, cold</c:v>
                </c:pt>
                <c:pt idx="4">
                  <c:v>Reversal</c:v>
                </c:pt>
              </c:strCache>
            </c:strRef>
          </c:cat>
          <c:val>
            <c:numRef>
              <c:f>Throughput!$D$5:$D$9</c:f>
              <c:numCache>
                <c:formatCode>0.0%</c:formatCode>
                <c:ptCount val="5"/>
                <c:pt idx="0">
                  <c:v>1.23943661971831</c:v>
                </c:pt>
                <c:pt idx="1">
                  <c:v>1.51041666666667</c:v>
                </c:pt>
                <c:pt idx="2">
                  <c:v>0.0853658536585366</c:v>
                </c:pt>
                <c:pt idx="3">
                  <c:v>-0.131707317073171</c:v>
                </c:pt>
                <c:pt idx="4">
                  <c:v>1.17045454545455</c:v>
                </c:pt>
              </c:numCache>
            </c:numRef>
          </c:val>
        </c:ser>
        <c:gapWidth val="60"/>
        <c:overlap val="0"/>
        <c:axId val="43620521"/>
        <c:axId val="13991399"/>
      </c:barChart>
      <c:catAx>
        <c:axId val="436205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991399"/>
        <c:crosses val="autoZero"/>
        <c:auto val="1"/>
        <c:lblAlgn val="ctr"/>
        <c:lblOffset val="100"/>
        <c:noMultiLvlLbl val="0"/>
      </c:catAx>
      <c:valAx>
        <c:axId val="139913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62052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Mismatched entries per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'Shadow run'!D4</c:f>
              <c:strCache>
                <c:ptCount val="1"/>
                <c:pt idx="0">
                  <c:v>Mismatches</c:v>
                </c:pt>
              </c:strCache>
            </c:strRef>
          </c:tx>
          <c:spPr>
            <a:solidFill>
              <a:srgbClr val="14514F"/>
            </a:solidFill>
            <a:ln w="28080">
              <a:solidFill>
                <a:srgbClr val="14514F"/>
              </a:solidFill>
              <a:round/>
            </a:ln>
          </c:spPr>
          <c:marker>
            <c:symbol val="circle"/>
            <c:size val="6"/>
            <c:spPr>
              <a:solidFill>
                <a:srgbClr val="14514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</c:dLbls>
          <c:cat>
            <c:strRef>
              <c:f>'Shadow run'!$A$5:$A$25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'Shadow run'!$D$5:$D$25</c:f>
              <c:numCache>
                <c:formatCode>#,##0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8044063"/>
        <c:axId val="81453146"/>
      </c:lineChart>
      <c:catAx>
        <c:axId val="780440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day of the shadow run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453146"/>
        <c:crosses val="autoZero"/>
        <c:auto val="1"/>
        <c:lblAlgn val="ctr"/>
        <c:lblOffset val="100"/>
        <c:noMultiLvlLbl val="0"/>
      </c:catAx>
      <c:valAx>
        <c:axId val="814531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entries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0440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cost by line item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'Cost model'!B4</c:f>
              <c:strCache>
                <c:ptCount val="1"/>
                <c:pt idx="0">
                  <c:v>v2.7 / month</c:v>
                </c:pt>
              </c:strCache>
            </c:strRef>
          </c:tx>
          <c:spPr>
            <a:solidFill>
              <a:srgbClr val="9FB3B0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'Cost model'!$A$5:$A$10</c:f>
              <c:strCache>
                <c:ptCount val="6"/>
                <c:pt idx="0">
                  <c:v>Compute — API tier</c:v>
                </c:pt>
                <c:pt idx="1">
                  <c:v>Compute — worker tier</c:v>
                </c:pt>
                <c:pt idx="2">
                  <c:v>Managed PostgreSQL</c:v>
                </c:pt>
                <c:pt idx="3">
                  <c:v>Redis cache</c:v>
                </c:pt>
                <c:pt idx="4">
                  <c:v>Object storage and egress</c:v>
                </c:pt>
                <c:pt idx="5">
                  <c:v>Observability</c:v>
                </c:pt>
              </c:strCache>
            </c:strRef>
          </c:cat>
          <c:val>
            <c:numRef>
              <c:f>'Cost model'!$B$5:$B$10</c:f>
              <c:numCache>
                <c:formatCode>\$#,##0</c:formatCode>
                <c:ptCount val="6"/>
                <c:pt idx="0">
                  <c:v>18400</c:v>
                </c:pt>
                <c:pt idx="1">
                  <c:v>7250</c:v>
                </c:pt>
                <c:pt idx="2">
                  <c:v>22000</c:v>
                </c:pt>
                <c:pt idx="3">
                  <c:v>3100</c:v>
                </c:pt>
                <c:pt idx="4">
                  <c:v>1860</c:v>
                </c:pt>
                <c:pt idx="5">
                  <c:v>2400</c:v>
                </c:pt>
              </c:numCache>
            </c:numRef>
          </c:val>
        </c:ser>
        <c:ser>
          <c:idx val="1"/>
          <c:order val="1"/>
          <c:tx>
            <c:strRef>
              <c:f>'Cost model'!C4</c:f>
              <c:strCache>
                <c:ptCount val="1"/>
                <c:pt idx="0">
                  <c:v>v3.0 / month</c:v>
                </c:pt>
              </c:strCache>
            </c:strRef>
          </c:tx>
          <c:spPr>
            <a:solidFill>
              <a:srgbClr val="14514F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'Cost model'!$A$5:$A$10</c:f>
              <c:strCache>
                <c:ptCount val="6"/>
                <c:pt idx="0">
                  <c:v>Compute — API tier</c:v>
                </c:pt>
                <c:pt idx="1">
                  <c:v>Compute — worker tier</c:v>
                </c:pt>
                <c:pt idx="2">
                  <c:v>Managed PostgreSQL</c:v>
                </c:pt>
                <c:pt idx="3">
                  <c:v>Redis cache</c:v>
                </c:pt>
                <c:pt idx="4">
                  <c:v>Object storage and egress</c:v>
                </c:pt>
                <c:pt idx="5">
                  <c:v>Observability</c:v>
                </c:pt>
              </c:strCache>
            </c:strRef>
          </c:cat>
          <c:val>
            <c:numRef>
              <c:f>'Cost model'!$C$5:$C$10</c:f>
              <c:numCache>
                <c:formatCode>\$#,##0</c:formatCode>
                <c:ptCount val="6"/>
                <c:pt idx="0">
                  <c:v>11900</c:v>
                </c:pt>
                <c:pt idx="1">
                  <c:v>8900</c:v>
                </c:pt>
                <c:pt idx="2">
                  <c:v>22000</c:v>
                </c:pt>
                <c:pt idx="3">
                  <c:v>4400</c:v>
                </c:pt>
                <c:pt idx="4">
                  <c:v>1910</c:v>
                </c:pt>
                <c:pt idx="5">
                  <c:v>2750</c:v>
                </c:pt>
              </c:numCache>
            </c:numRef>
          </c:val>
        </c:ser>
        <c:gapWidth val="60"/>
        <c:overlap val="0"/>
        <c:axId val="69123727"/>
        <c:axId val="79768988"/>
      </c:barChart>
      <c:catAx>
        <c:axId val="6912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768988"/>
        <c:crosses val="autoZero"/>
        <c:auto val="1"/>
        <c:lblAlgn val="ctr"/>
        <c:lblOffset val="100"/>
        <c:noMultiLvlLbl val="0"/>
      </c:catAx>
      <c:valAx>
        <c:axId val="797689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 per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12372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16</xdr:col>
      <xdr:colOff>4680</xdr:colOff>
      <xdr:row>16</xdr:row>
      <xdr:rowOff>68760</xdr:rowOff>
    </xdr:to>
    <xdr:graphicFrame>
      <xdr:nvGraphicFramePr>
        <xdr:cNvPr id="1" name="Chart 1"/>
        <xdr:cNvGraphicFramePr/>
      </xdr:nvGraphicFramePr>
      <xdr:xfrm>
        <a:off x="6250320" y="65736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18</xdr:col>
      <xdr:colOff>4680</xdr:colOff>
      <xdr:row>18</xdr:row>
      <xdr:rowOff>40320</xdr:rowOff>
    </xdr:to>
    <xdr:graphicFrame>
      <xdr:nvGraphicFramePr>
        <xdr:cNvPr id="2" name="Chart 1"/>
        <xdr:cNvGraphicFramePr/>
      </xdr:nvGraphicFramePr>
      <xdr:xfrm>
        <a:off x="7378200" y="65736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17</xdr:col>
      <xdr:colOff>4320</xdr:colOff>
      <xdr:row>18</xdr:row>
      <xdr:rowOff>40320</xdr:rowOff>
    </xdr:to>
    <xdr:graphicFrame>
      <xdr:nvGraphicFramePr>
        <xdr:cNvPr id="3" name="Chart 1"/>
        <xdr:cNvGraphicFramePr/>
      </xdr:nvGraphicFramePr>
      <xdr:xfrm>
        <a:off x="7800840" y="65736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0" t="s">
        <v>3</v>
      </c>
    </row>
    <row r="5" customFormat="false" ht="15" hidden="false" customHeight="false" outlineLevel="0" collapsed="false">
      <c r="A5" s="3" t="s">
        <v>4</v>
      </c>
      <c r="B5" s="0" t="s">
        <v>5</v>
      </c>
    </row>
    <row r="6" customFormat="false" ht="15" hidden="false" customHeight="false" outlineLevel="0" collapsed="false">
      <c r="A6" s="3" t="s">
        <v>6</v>
      </c>
      <c r="B6" s="0" t="s">
        <v>7</v>
      </c>
    </row>
    <row r="7" customFormat="false" ht="15" hidden="false" customHeight="false" outlineLevel="0" collapsed="false">
      <c r="A7" s="3" t="s">
        <v>8</v>
      </c>
      <c r="B7" s="4" t="n">
        <v>46255</v>
      </c>
    </row>
    <row r="8" customFormat="false" ht="15" hidden="false" customHeight="false" outlineLevel="0" collapsed="false">
      <c r="A8" s="3" t="s">
        <v>9</v>
      </c>
      <c r="B8" s="0" t="s">
        <v>10</v>
      </c>
    </row>
    <row r="10" customFormat="false" ht="27.75" hidden="false" customHeight="true" outlineLevel="0" collapsed="false">
      <c r="A10" s="5" t="s">
        <v>11</v>
      </c>
      <c r="B10" s="5" t="s">
        <v>12</v>
      </c>
    </row>
    <row r="11" customFormat="false" ht="15" hidden="false" customHeight="false" outlineLevel="0" collapsed="false">
      <c r="A11" s="6" t="s">
        <v>13</v>
      </c>
      <c r="B11" s="7" t="s">
        <v>14</v>
      </c>
    </row>
    <row r="12" customFormat="false" ht="15" hidden="false" customHeight="false" outlineLevel="0" collapsed="false">
      <c r="A12" s="8" t="s">
        <v>15</v>
      </c>
      <c r="B12" s="9" t="s">
        <v>16</v>
      </c>
    </row>
    <row r="13" customFormat="false" ht="15" hidden="false" customHeight="false" outlineLevel="0" collapsed="false">
      <c r="A13" s="6" t="s">
        <v>17</v>
      </c>
      <c r="B13" s="7" t="s">
        <v>18</v>
      </c>
    </row>
    <row r="14" customFormat="false" ht="15" hidden="false" customHeight="false" outlineLevel="0" collapsed="false">
      <c r="A14" s="8" t="s">
        <v>19</v>
      </c>
      <c r="B14" s="9" t="s">
        <v>20</v>
      </c>
    </row>
    <row r="15" customFormat="false" ht="15" hidden="false" customHeight="false" outlineLevel="0" collapsed="false">
      <c r="A15" s="6" t="s">
        <v>21</v>
      </c>
      <c r="B15" s="7" t="s">
        <v>22</v>
      </c>
    </row>
    <row r="16" customFormat="false" ht="15" hidden="false" customHeight="false" outlineLevel="0" collapsed="false">
      <c r="A16" s="8" t="s">
        <v>23</v>
      </c>
      <c r="B16" s="9" t="s">
        <v>24</v>
      </c>
    </row>
    <row r="17" customFormat="false" ht="15" hidden="false" customHeight="false" outlineLevel="0" collapsed="false">
      <c r="A17" s="6" t="s">
        <v>25</v>
      </c>
      <c r="B17" s="7" t="s">
        <v>26</v>
      </c>
    </row>
    <row r="19" customFormat="false" ht="15" hidden="false" customHeight="false" outlineLevel="0" collapsed="false">
      <c r="A19" s="10" t="s">
        <v>27</v>
      </c>
    </row>
    <row r="20" customFormat="false" ht="15" hidden="false" customHeight="false" outlineLevel="0" collapsed="false">
      <c r="A20" s="6" t="s">
        <v>28</v>
      </c>
      <c r="B20" s="11" t="n">
        <f aca="false">'Shadow run'!C26</f>
        <v>412380551</v>
      </c>
    </row>
    <row r="21" customFormat="false" ht="15" hidden="false" customHeight="false" outlineLevel="0" collapsed="false">
      <c r="A21" s="6" t="s">
        <v>29</v>
      </c>
      <c r="B21" s="11" t="n">
        <f aca="false">'Shadow run'!D26</f>
        <v>37</v>
      </c>
    </row>
    <row r="22" customFormat="false" ht="15" hidden="false" customHeight="false" outlineLevel="0" collapsed="false">
      <c r="A22" s="6" t="s">
        <v>30</v>
      </c>
      <c r="B22" s="12" t="n">
        <f aca="false">'Shadow run'!D26/'Shadow run'!C26</f>
        <v>8.97229510709878E-008</v>
      </c>
    </row>
    <row r="23" customFormat="false" ht="15" hidden="false" customHeight="false" outlineLevel="0" collapsed="false">
      <c r="A23" s="6" t="s">
        <v>31</v>
      </c>
      <c r="B23" s="13" t="n">
        <f aca="false">'Cost model'!C14</f>
        <v>3150</v>
      </c>
    </row>
    <row r="24" customFormat="false" ht="15" hidden="false" customHeight="false" outlineLevel="0" collapsed="false">
      <c r="A24" s="6" t="s">
        <v>32</v>
      </c>
      <c r="B24" s="14" t="n">
        <f aca="false">'Cost model'!C18</f>
        <v>13</v>
      </c>
    </row>
    <row r="25" customFormat="false" ht="15" hidden="false" customHeight="false" outlineLevel="0" collapsed="false">
      <c r="A25" s="6" t="s">
        <v>33</v>
      </c>
      <c r="B25" s="11" t="n">
        <f aca="false">'Risk register'!C13</f>
        <v>3</v>
      </c>
    </row>
    <row r="26" customFormat="false" ht="15" hidden="false" customHeight="false" outlineLevel="0" collapsed="false">
      <c r="A26" s="6" t="s">
        <v>34</v>
      </c>
      <c r="B26" s="11" t="n">
        <f aca="false">Readiness!C13</f>
        <v>4</v>
      </c>
    </row>
    <row r="28" customFormat="false" ht="15" hidden="false" customHeight="false" outlineLevel="0" collapsed="false">
      <c r="A28" s="10" t="s">
        <v>35</v>
      </c>
    </row>
    <row r="29" customFormat="false" ht="15" hidden="false" customHeight="false" outlineLevel="0" collapsed="false">
      <c r="A29" s="15" t="s">
        <v>36</v>
      </c>
      <c r="B29" s="0" t="s">
        <v>37</v>
      </c>
    </row>
    <row r="30" customFormat="false" ht="15" hidden="false" customHeight="false" outlineLevel="0" collapsed="false">
      <c r="A30" s="3" t="s">
        <v>38</v>
      </c>
      <c r="B30" s="0" t="s">
        <v>39</v>
      </c>
    </row>
    <row r="31" customFormat="false" ht="15" hidden="false" customHeight="false" outlineLevel="0" collapsed="false">
      <c r="A31" s="3" t="s">
        <v>40</v>
      </c>
      <c r="B31" s="0" t="s">
        <v>41</v>
      </c>
    </row>
    <row r="33" customFormat="false" ht="16.5" hidden="false" customHeight="true" outlineLevel="0" collapsed="false">
      <c r="A33" s="16" t="s">
        <v>42</v>
      </c>
      <c r="B33" s="16"/>
    </row>
  </sheetData>
  <mergeCells count="3">
    <mergeCell ref="A1:D1"/>
    <mergeCell ref="A2:D2"/>
    <mergeCell ref="A33:B33"/>
  </mergeCells>
  <printOptions headings="false" gridLines="false" gridLinesSet="true" horizontalCentered="false" verticalCentered="false"/>
  <pageMargins left="0.5" right="0.5" top="0.6" bottom="0.6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&amp;LLedger Service v3 — Assessment Workbook&amp;R&amp;P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20"/>
  </cols>
  <sheetData>
    <row r="1" customFormat="false" ht="21.75" hidden="false" customHeight="true" outlineLevel="0" collapsed="false">
      <c r="A1" s="1" t="s">
        <v>13</v>
      </c>
      <c r="B1" s="1"/>
      <c r="C1" s="1"/>
      <c r="D1" s="1"/>
    </row>
    <row r="2" customFormat="false" ht="15" hidden="false" customHeight="false" outlineLevel="0" collapsed="false">
      <c r="A2" s="2" t="s">
        <v>43</v>
      </c>
      <c r="B2" s="2"/>
      <c r="C2" s="2"/>
      <c r="D2" s="2"/>
    </row>
    <row r="4" customFormat="false" ht="27.75" hidden="false" customHeight="true" outlineLevel="0" collapsed="false">
      <c r="A4" s="5" t="s">
        <v>44</v>
      </c>
      <c r="B4" s="17" t="s">
        <v>45</v>
      </c>
      <c r="C4" s="5" t="s">
        <v>46</v>
      </c>
      <c r="D4" s="5" t="s">
        <v>47</v>
      </c>
    </row>
    <row r="5" customFormat="false" ht="15" hidden="false" customHeight="false" outlineLevel="0" collapsed="false">
      <c r="A5" s="6" t="s">
        <v>48</v>
      </c>
      <c r="B5" s="18" t="n">
        <v>6.5</v>
      </c>
      <c r="C5" s="7" t="s">
        <v>49</v>
      </c>
      <c r="D5" s="7" t="s">
        <v>50</v>
      </c>
    </row>
    <row r="6" customFormat="false" ht="15" hidden="false" customHeight="false" outlineLevel="0" collapsed="false">
      <c r="A6" s="8" t="s">
        <v>51</v>
      </c>
      <c r="B6" s="19" t="n">
        <v>6300</v>
      </c>
      <c r="C6" s="9" t="s">
        <v>52</v>
      </c>
      <c r="D6" s="9" t="s">
        <v>50</v>
      </c>
    </row>
    <row r="7" customFormat="false" ht="15" hidden="false" customHeight="false" outlineLevel="0" collapsed="false">
      <c r="A7" s="6" t="s">
        <v>53</v>
      </c>
      <c r="B7" s="20" t="n">
        <v>0.22</v>
      </c>
      <c r="C7" s="7" t="s">
        <v>54</v>
      </c>
      <c r="D7" s="7" t="s">
        <v>55</v>
      </c>
    </row>
    <row r="8" customFormat="false" ht="15" hidden="false" customHeight="false" outlineLevel="0" collapsed="false">
      <c r="A8" s="8" t="s">
        <v>56</v>
      </c>
      <c r="B8" s="21" t="n">
        <v>14</v>
      </c>
      <c r="C8" s="9" t="s">
        <v>57</v>
      </c>
      <c r="D8" s="9" t="s">
        <v>58</v>
      </c>
    </row>
    <row r="9" customFormat="false" ht="15" hidden="false" customHeight="false" outlineLevel="0" collapsed="false">
      <c r="A9" s="6" t="s">
        <v>59</v>
      </c>
      <c r="B9" s="22" t="n">
        <v>915</v>
      </c>
      <c r="C9" s="7" t="s">
        <v>60</v>
      </c>
      <c r="D9" s="7" t="s">
        <v>58</v>
      </c>
    </row>
    <row r="10" customFormat="false" ht="15" hidden="false" customHeight="false" outlineLevel="0" collapsed="false">
      <c r="A10" s="8" t="s">
        <v>61</v>
      </c>
      <c r="B10" s="21" t="n">
        <v>12</v>
      </c>
      <c r="C10" s="9" t="s">
        <v>62</v>
      </c>
      <c r="D10" s="9" t="s">
        <v>63</v>
      </c>
    </row>
    <row r="11" customFormat="false" ht="15" hidden="false" customHeight="false" outlineLevel="0" collapsed="false">
      <c r="A11" s="6" t="s">
        <v>64</v>
      </c>
      <c r="B11" s="23" t="n">
        <v>21</v>
      </c>
      <c r="C11" s="7" t="s">
        <v>65</v>
      </c>
      <c r="D11" s="7" t="s">
        <v>66</v>
      </c>
    </row>
    <row r="12" customFormat="false" ht="15" hidden="false" customHeight="false" outlineLevel="0" collapsed="false">
      <c r="A12" s="8" t="s">
        <v>67</v>
      </c>
      <c r="B12" s="21" t="n">
        <v>30</v>
      </c>
      <c r="C12" s="9" t="s">
        <v>68</v>
      </c>
      <c r="D12" s="9" t="s">
        <v>69</v>
      </c>
    </row>
    <row r="13" customFormat="false" ht="15" hidden="false" customHeight="false" outlineLevel="0" collapsed="false">
      <c r="A13" s="6" t="s">
        <v>70</v>
      </c>
      <c r="B13" s="23" t="n">
        <v>412380551</v>
      </c>
      <c r="C13" s="7" t="s">
        <v>71</v>
      </c>
      <c r="D13" s="7" t="s">
        <v>72</v>
      </c>
    </row>
    <row r="15" customFormat="false" ht="15" hidden="false" customHeight="false" outlineLevel="0" collapsed="false">
      <c r="A15" s="6" t="s">
        <v>73</v>
      </c>
      <c r="B15" s="24" t="n">
        <f aca="false">MigrationWeeks*CostPerWeek</f>
        <v>40950</v>
      </c>
      <c r="C15" s="7" t="s">
        <v>74</v>
      </c>
    </row>
    <row r="16" customFormat="false" ht="15" hidden="false" customHeight="false" outlineLevel="0" collapsed="false">
      <c r="A16" s="6" t="s">
        <v>75</v>
      </c>
      <c r="B16" s="24" t="n">
        <f aca="false">WarmFleetDays*WarmFleetDailyCost</f>
        <v>12810</v>
      </c>
      <c r="C16" s="7" t="s">
        <v>76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5" right="0.5" top="0.6" bottom="0.6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&amp;LLedger Service v3 — Assessment Workbook&amp;R&amp;P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5"/>
    <col collapsed="false" customWidth="true" hidden="false" outlineLevel="0" max="4" min="4" style="0" width="11"/>
    <col collapsed="false" customWidth="true" hidden="false" outlineLevel="0" max="5" min="5" style="0" width="13"/>
  </cols>
  <sheetData>
    <row r="1" customFormat="false" ht="21.75" hidden="false" customHeight="true" outlineLevel="0" collapsed="false">
      <c r="A1" s="1" t="s">
        <v>77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78</v>
      </c>
      <c r="B2" s="2"/>
      <c r="C2" s="2"/>
      <c r="D2" s="2"/>
      <c r="E2" s="2"/>
    </row>
    <row r="4" customFormat="false" ht="27.75" hidden="false" customHeight="true" outlineLevel="0" collapsed="false">
      <c r="A4" s="5" t="s">
        <v>79</v>
      </c>
      <c r="B4" s="17" t="s">
        <v>80</v>
      </c>
      <c r="C4" s="17" t="s">
        <v>81</v>
      </c>
      <c r="D4" s="17" t="s">
        <v>82</v>
      </c>
      <c r="E4" s="25" t="s">
        <v>83</v>
      </c>
    </row>
    <row r="5" customFormat="false" ht="15" hidden="false" customHeight="false" outlineLevel="0" collapsed="false">
      <c r="A5" s="7" t="s">
        <v>84</v>
      </c>
      <c r="B5" s="26" t="n">
        <v>1420</v>
      </c>
      <c r="C5" s="26" t="n">
        <v>3180</v>
      </c>
      <c r="D5" s="27" t="n">
        <f aca="false">(C5-B5)/B5</f>
        <v>1.23943661971831</v>
      </c>
      <c r="E5" s="28" t="str">
        <f aca="false">IF(D5&gt;0,"Faster","Slower")</f>
        <v>Faster</v>
      </c>
    </row>
    <row r="6" customFormat="false" ht="15" hidden="false" customHeight="false" outlineLevel="0" collapsed="false">
      <c r="A6" s="9" t="s">
        <v>85</v>
      </c>
      <c r="B6" s="29" t="n">
        <v>9600</v>
      </c>
      <c r="C6" s="29" t="n">
        <v>24100</v>
      </c>
      <c r="D6" s="30" t="n">
        <f aca="false">(C6-B6)/B6</f>
        <v>1.51041666666667</v>
      </c>
      <c r="E6" s="31" t="str">
        <f aca="false">IF(D6&gt;0,"Faster","Slower")</f>
        <v>Faster</v>
      </c>
    </row>
    <row r="7" customFormat="false" ht="15" hidden="false" customHeight="false" outlineLevel="0" collapsed="false">
      <c r="A7" s="7" t="s">
        <v>86</v>
      </c>
      <c r="B7" s="26" t="n">
        <v>41000</v>
      </c>
      <c r="C7" s="26" t="n">
        <v>44500</v>
      </c>
      <c r="D7" s="27" t="n">
        <f aca="false">(C7-B7)/B7</f>
        <v>0.0853658536585366</v>
      </c>
      <c r="E7" s="28" t="str">
        <f aca="false">IF(D7&gt;0,"Faster","Slower")</f>
        <v>Faster</v>
      </c>
    </row>
    <row r="8" customFormat="false" ht="15" hidden="false" customHeight="false" outlineLevel="0" collapsed="false">
      <c r="A8" s="9" t="s">
        <v>87</v>
      </c>
      <c r="B8" s="29" t="n">
        <v>2050</v>
      </c>
      <c r="C8" s="29" t="n">
        <v>1780</v>
      </c>
      <c r="D8" s="30" t="n">
        <f aca="false">(C8-B8)/B8</f>
        <v>-0.131707317073171</v>
      </c>
      <c r="E8" s="31" t="str">
        <f aca="false">IF(D8&gt;0,"Faster","Slower")</f>
        <v>Slower</v>
      </c>
    </row>
    <row r="9" customFormat="false" ht="15" hidden="false" customHeight="false" outlineLevel="0" collapsed="false">
      <c r="A9" s="7" t="s">
        <v>88</v>
      </c>
      <c r="B9" s="26" t="n">
        <v>880</v>
      </c>
      <c r="C9" s="26" t="n">
        <v>1910</v>
      </c>
      <c r="D9" s="27" t="n">
        <f aca="false">(C9-B9)/B9</f>
        <v>1.17045454545455</v>
      </c>
      <c r="E9" s="28" t="str">
        <f aca="false">IF(D9&gt;0,"Faster","Slower")</f>
        <v>Faster</v>
      </c>
    </row>
    <row r="11" customFormat="false" ht="42.75" hidden="false" customHeight="true" outlineLevel="0" collapsed="false">
      <c r="A11" s="16" t="s">
        <v>89</v>
      </c>
      <c r="B11" s="16"/>
      <c r="C11" s="16"/>
      <c r="D11" s="16"/>
      <c r="E11" s="16"/>
    </row>
  </sheetData>
  <mergeCells count="3">
    <mergeCell ref="A1:E1"/>
    <mergeCell ref="A2:E2"/>
    <mergeCell ref="A11:E11"/>
  </mergeCells>
  <conditionalFormatting sqref="D5:D9">
    <cfRule type="cellIs" priority="2" operator="lessThan" aboveAverage="0" equalAverage="0" bottom="0" percent="0" rank="0" text="" dxfId="0">
      <formula>0</formula>
    </cfRule>
  </conditionalFormatting>
  <conditionalFormatting sqref="E5:E9">
    <cfRule type="expression" priority="3" aboveAverage="0" equalAverage="0" bottom="0" percent="0" rank="0" text="" dxfId="1">
      <formula>$E5="Slower"</formula>
    </cfRule>
  </conditionalFormatting>
  <printOptions headings="false" gridLines="false" gridLinesSet="true" horizontalCentered="false" verticalCentered="false"/>
  <pageMargins left="0.5" right="0.5" top="0.6" bottom="0.6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&amp;LLedger Service v3 — Assessment Workbook&amp;R&amp;P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1"/>
  </cols>
  <sheetData>
    <row r="1" customFormat="false" ht="21.75" hidden="false" customHeight="true" outlineLevel="0" collapsed="false">
      <c r="A1" s="1" t="s">
        <v>90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91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5" t="s">
        <v>92</v>
      </c>
      <c r="B4" s="17" t="s">
        <v>93</v>
      </c>
      <c r="C4" s="17" t="s">
        <v>94</v>
      </c>
      <c r="D4" s="17" t="s">
        <v>95</v>
      </c>
      <c r="E4" s="17" t="s">
        <v>82</v>
      </c>
      <c r="F4" s="17" t="s">
        <v>96</v>
      </c>
      <c r="G4" s="25" t="s">
        <v>97</v>
      </c>
    </row>
    <row r="5" customFormat="false" ht="15" hidden="false" customHeight="false" outlineLevel="0" collapsed="false">
      <c r="A5" s="7" t="s">
        <v>98</v>
      </c>
      <c r="B5" s="32" t="n">
        <v>84</v>
      </c>
      <c r="C5" s="32" t="n">
        <v>37</v>
      </c>
      <c r="D5" s="32" t="n">
        <v>50</v>
      </c>
      <c r="E5" s="27" t="n">
        <f aca="false">(C5-B5)/B5</f>
        <v>-0.55952380952381</v>
      </c>
      <c r="F5" s="33" t="n">
        <f aca="false">D5-C5</f>
        <v>13</v>
      </c>
      <c r="G5" s="28" t="str">
        <f aca="false">IF(C5&lt;=D5,"Pass","Fail")</f>
        <v>Pass</v>
      </c>
    </row>
    <row r="6" customFormat="false" ht="15" hidden="false" customHeight="false" outlineLevel="0" collapsed="false">
      <c r="A6" s="9" t="s">
        <v>99</v>
      </c>
      <c r="B6" s="34" t="n">
        <v>12</v>
      </c>
      <c r="C6" s="34" t="n">
        <v>11</v>
      </c>
      <c r="D6" s="34" t="n">
        <v>25</v>
      </c>
      <c r="E6" s="30" t="n">
        <f aca="false">(C6-B6)/B6</f>
        <v>-0.0833333333333333</v>
      </c>
      <c r="F6" s="35" t="n">
        <f aca="false">D6-C6</f>
        <v>14</v>
      </c>
      <c r="G6" s="31" t="str">
        <f aca="false">IF(C6&lt;=D6,"Pass","Fail")</f>
        <v>Pass</v>
      </c>
    </row>
    <row r="7" customFormat="false" ht="15" hidden="false" customHeight="false" outlineLevel="0" collapsed="false">
      <c r="A7" s="7" t="s">
        <v>100</v>
      </c>
      <c r="B7" s="32" t="n">
        <v>143</v>
      </c>
      <c r="C7" s="32" t="n">
        <v>61</v>
      </c>
      <c r="D7" s="32" t="n">
        <v>100</v>
      </c>
      <c r="E7" s="27" t="n">
        <f aca="false">(C7-B7)/B7</f>
        <v>-0.573426573426573</v>
      </c>
      <c r="F7" s="33" t="n">
        <f aca="false">D7-C7</f>
        <v>39</v>
      </c>
      <c r="G7" s="28" t="str">
        <f aca="false">IF(C7&lt;=D7,"Pass","Fail")</f>
        <v>Pass</v>
      </c>
    </row>
    <row r="8" customFormat="false" ht="15" hidden="false" customHeight="false" outlineLevel="0" collapsed="false">
      <c r="A8" s="9" t="s">
        <v>101</v>
      </c>
      <c r="B8" s="34" t="n">
        <v>1910</v>
      </c>
      <c r="C8" s="34" t="n">
        <v>2240</v>
      </c>
      <c r="D8" s="34" t="n">
        <v>1500</v>
      </c>
      <c r="E8" s="30" t="n">
        <f aca="false">(C8-B8)/B8</f>
        <v>0.172774869109948</v>
      </c>
      <c r="F8" s="35" t="n">
        <f aca="false">D8-C8</f>
        <v>-740</v>
      </c>
      <c r="G8" s="31" t="str">
        <f aca="false">IF(C8&lt;=D8,"Pass","Fail")</f>
        <v>Fail</v>
      </c>
    </row>
    <row r="10" customFormat="false" ht="15" hidden="false" customHeight="false" outlineLevel="0" collapsed="false">
      <c r="A10" s="6" t="s">
        <v>102</v>
      </c>
      <c r="B10" s="36" t="str">
        <f aca="false">COUNTIF(G5:G8,"Pass")&amp;" of "&amp;COUNTA(G5:G8)</f>
        <v>3 of 4</v>
      </c>
    </row>
    <row r="11" customFormat="false" ht="15" hidden="false" customHeight="false" outlineLevel="0" collapsed="false">
      <c r="A11" s="6" t="s">
        <v>103</v>
      </c>
      <c r="B11" s="37" t="n">
        <f aca="false">-MIN(F5:F8)</f>
        <v>740</v>
      </c>
    </row>
    <row r="13" customFormat="false" ht="30" hidden="false" customHeight="true" outlineLevel="0" collapsed="false">
      <c r="A13" s="16" t="s">
        <v>104</v>
      </c>
      <c r="B13" s="16"/>
      <c r="C13" s="16"/>
      <c r="D13" s="16"/>
      <c r="E13" s="16"/>
      <c r="F13" s="16"/>
      <c r="G13" s="16"/>
    </row>
  </sheetData>
  <mergeCells count="3">
    <mergeCell ref="A1:G1"/>
    <mergeCell ref="A2:G2"/>
    <mergeCell ref="A13:G13"/>
  </mergeCells>
  <conditionalFormatting sqref="A5:G8">
    <cfRule type="expression" priority="2" aboveAverage="0" equalAverage="0" bottom="0" percent="0" rank="0" text="" dxfId="0">
      <formula>$G5="Fail"</formula>
    </cfRule>
  </conditionalFormatting>
  <conditionalFormatting sqref="F5:F8"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5" right="0.5" top="0.6" bottom="0.6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&amp;LLedger Service v3 — Assessment Workbook&amp;R&amp;P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21.75" hidden="false" customHeight="true" outlineLevel="0" collapsed="false">
      <c r="A1" s="1" t="s">
        <v>105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106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25" t="s">
        <v>107</v>
      </c>
      <c r="B4" s="25" t="s">
        <v>8</v>
      </c>
      <c r="C4" s="17" t="s">
        <v>28</v>
      </c>
      <c r="D4" s="17" t="s">
        <v>108</v>
      </c>
      <c r="E4" s="17" t="s">
        <v>109</v>
      </c>
      <c r="F4" s="17" t="s">
        <v>110</v>
      </c>
      <c r="G4" s="5" t="s">
        <v>111</v>
      </c>
    </row>
    <row r="5" customFormat="false" ht="15" hidden="false" customHeight="false" outlineLevel="0" collapsed="false">
      <c r="A5" s="28" t="n">
        <v>1</v>
      </c>
      <c r="B5" s="38" t="n">
        <v>46229</v>
      </c>
      <c r="C5" s="26" t="n">
        <v>15587537</v>
      </c>
      <c r="D5" s="26" t="n">
        <v>4</v>
      </c>
      <c r="E5" s="39" t="n">
        <f aca="false">SUM($D$5:D5)</f>
        <v>4</v>
      </c>
      <c r="F5" s="40" t="n">
        <f aca="false">E5/SUM($C$5:C5)</f>
        <v>2.56615268980597E-007</v>
      </c>
      <c r="G5" s="7" t="s">
        <v>112</v>
      </c>
    </row>
    <row r="6" customFormat="false" ht="15" hidden="false" customHeight="false" outlineLevel="0" collapsed="false">
      <c r="A6" s="31" t="n">
        <v>2</v>
      </c>
      <c r="B6" s="41" t="n">
        <v>46230</v>
      </c>
      <c r="C6" s="29" t="n">
        <v>20843372</v>
      </c>
      <c r="D6" s="29" t="n">
        <v>3</v>
      </c>
      <c r="E6" s="42" t="n">
        <f aca="false">SUM($D$5:D6)</f>
        <v>7</v>
      </c>
      <c r="F6" s="43" t="n">
        <f aca="false">E6/SUM($C$5:C6)</f>
        <v>1.92144533094137E-007</v>
      </c>
      <c r="G6" s="9" t="s">
        <v>112</v>
      </c>
    </row>
    <row r="7" customFormat="false" ht="15" hidden="false" customHeight="false" outlineLevel="0" collapsed="false">
      <c r="A7" s="28" t="n">
        <v>3</v>
      </c>
      <c r="B7" s="38" t="n">
        <v>46231</v>
      </c>
      <c r="C7" s="26" t="n">
        <v>22332184</v>
      </c>
      <c r="D7" s="26" t="n">
        <v>5</v>
      </c>
      <c r="E7" s="39" t="n">
        <f aca="false">SUM($D$5:D7)</f>
        <v>12</v>
      </c>
      <c r="F7" s="40" t="n">
        <f aca="false">E7/SUM($C$5:C7)</f>
        <v>2.04209809037792E-007</v>
      </c>
      <c r="G7" s="7" t="s">
        <v>112</v>
      </c>
    </row>
    <row r="8" customFormat="false" ht="15" hidden="false" customHeight="false" outlineLevel="0" collapsed="false">
      <c r="A8" s="31" t="n">
        <v>4</v>
      </c>
      <c r="B8" s="41" t="n">
        <v>46232</v>
      </c>
      <c r="C8" s="29" t="n">
        <v>20417997</v>
      </c>
      <c r="D8" s="29" t="n">
        <v>2</v>
      </c>
      <c r="E8" s="42" t="n">
        <f aca="false">SUM($D$5:D8)</f>
        <v>14</v>
      </c>
      <c r="F8" s="43" t="n">
        <f aca="false">E8/SUM($C$5:C8)</f>
        <v>1.76809892361926E-007</v>
      </c>
      <c r="G8" s="9" t="s">
        <v>112</v>
      </c>
    </row>
    <row r="9" customFormat="false" ht="15" hidden="false" customHeight="false" outlineLevel="0" collapsed="false">
      <c r="A9" s="28" t="n">
        <v>5</v>
      </c>
      <c r="B9" s="38" t="n">
        <v>46233</v>
      </c>
      <c r="C9" s="26" t="n">
        <v>21481434</v>
      </c>
      <c r="D9" s="26" t="n">
        <v>4</v>
      </c>
      <c r="E9" s="39" t="n">
        <f aca="false">SUM($D$5:D9)</f>
        <v>18</v>
      </c>
      <c r="F9" s="40" t="n">
        <f aca="false">E9/SUM($C$5:C9)</f>
        <v>1.78815305684169E-007</v>
      </c>
      <c r="G9" s="7" t="s">
        <v>112</v>
      </c>
    </row>
    <row r="10" customFormat="false" ht="15" hidden="false" customHeight="false" outlineLevel="0" collapsed="false">
      <c r="A10" s="31" t="n">
        <v>6</v>
      </c>
      <c r="B10" s="41" t="n">
        <v>46234</v>
      </c>
      <c r="C10" s="29" t="n">
        <v>22544872</v>
      </c>
      <c r="D10" s="29" t="n">
        <v>3</v>
      </c>
      <c r="E10" s="42" t="n">
        <f aca="false">SUM($D$5:D10)</f>
        <v>21</v>
      </c>
      <c r="F10" s="43" t="n">
        <f aca="false">E10/SUM($C$5:C10)</f>
        <v>1.70444313261843E-007</v>
      </c>
      <c r="G10" s="9" t="s">
        <v>112</v>
      </c>
    </row>
    <row r="11" customFormat="false" ht="15" hidden="false" customHeight="false" outlineLevel="0" collapsed="false">
      <c r="A11" s="28" t="n">
        <v>7</v>
      </c>
      <c r="B11" s="38" t="n">
        <v>46235</v>
      </c>
      <c r="C11" s="26" t="n">
        <v>14376855</v>
      </c>
      <c r="D11" s="26" t="n">
        <v>2</v>
      </c>
      <c r="E11" s="39" t="n">
        <f aca="false">SUM($D$5:D11)</f>
        <v>23</v>
      </c>
      <c r="F11" s="40" t="n">
        <f aca="false">E11/SUM($C$5:C11)</f>
        <v>1.67170296257237E-007</v>
      </c>
      <c r="G11" s="7" t="s">
        <v>112</v>
      </c>
    </row>
    <row r="12" customFormat="false" ht="15" hidden="false" customHeight="false" outlineLevel="0" collapsed="false">
      <c r="A12" s="31" t="n">
        <v>8</v>
      </c>
      <c r="B12" s="41" t="n">
        <v>46236</v>
      </c>
      <c r="C12" s="29" t="n">
        <v>15436202</v>
      </c>
      <c r="D12" s="29" t="n">
        <v>3</v>
      </c>
      <c r="E12" s="42" t="n">
        <f aca="false">SUM($D$5:D12)</f>
        <v>26</v>
      </c>
      <c r="F12" s="43" t="n">
        <f aca="false">E12/SUM($C$5:C12)</f>
        <v>1.69911926740931E-007</v>
      </c>
      <c r="G12" s="9" t="s">
        <v>112</v>
      </c>
    </row>
    <row r="13" customFormat="false" ht="15" hidden="false" customHeight="false" outlineLevel="0" collapsed="false">
      <c r="A13" s="28" t="n">
        <v>9</v>
      </c>
      <c r="B13" s="38" t="n">
        <v>46237</v>
      </c>
      <c r="C13" s="26" t="n">
        <v>20630684</v>
      </c>
      <c r="D13" s="26" t="n">
        <v>2</v>
      </c>
      <c r="E13" s="39" t="n">
        <f aca="false">SUM($D$5:D13)</f>
        <v>28</v>
      </c>
      <c r="F13" s="40" t="n">
        <f aca="false">E13/SUM($C$5:C13)</f>
        <v>1.6124282560845E-007</v>
      </c>
      <c r="G13" s="7" t="s">
        <v>112</v>
      </c>
    </row>
    <row r="14" customFormat="false" ht="15" hidden="false" customHeight="false" outlineLevel="0" collapsed="false">
      <c r="A14" s="31" t="n">
        <v>10</v>
      </c>
      <c r="B14" s="41" t="n">
        <v>46238</v>
      </c>
      <c r="C14" s="29" t="n">
        <v>22119497</v>
      </c>
      <c r="D14" s="29" t="n">
        <v>3</v>
      </c>
      <c r="E14" s="42" t="n">
        <f aca="false">SUM($D$5:D14)</f>
        <v>31</v>
      </c>
      <c r="F14" s="43" t="n">
        <f aca="false">E14/SUM($C$5:C14)</f>
        <v>1.5834857029681E-007</v>
      </c>
      <c r="G14" s="9" t="s">
        <v>112</v>
      </c>
    </row>
    <row r="15" customFormat="false" ht="15" hidden="false" customHeight="false" outlineLevel="0" collapsed="false">
      <c r="A15" s="28" t="n">
        <v>11</v>
      </c>
      <c r="B15" s="38" t="n">
        <v>46239</v>
      </c>
      <c r="C15" s="26" t="n">
        <v>21268747</v>
      </c>
      <c r="D15" s="26" t="n">
        <v>2</v>
      </c>
      <c r="E15" s="39" t="n">
        <f aca="false">SUM($D$5:D15)</f>
        <v>33</v>
      </c>
      <c r="F15" s="40" t="n">
        <f aca="false">E15/SUM($C$5:C15)</f>
        <v>1.52046139497606E-007</v>
      </c>
      <c r="G15" s="7" t="s">
        <v>112</v>
      </c>
    </row>
    <row r="16" customFormat="false" ht="15" hidden="false" customHeight="false" outlineLevel="0" collapsed="false">
      <c r="A16" s="31" t="n">
        <v>12</v>
      </c>
      <c r="B16" s="41" t="n">
        <v>46240</v>
      </c>
      <c r="C16" s="29" t="n">
        <v>19992622</v>
      </c>
      <c r="D16" s="29" t="n">
        <v>2</v>
      </c>
      <c r="E16" s="42" t="n">
        <f aca="false">SUM($D$5:D16)</f>
        <v>35</v>
      </c>
      <c r="F16" s="43" t="n">
        <f aca="false">E16/SUM($C$5:C16)</f>
        <v>1.47659385893136E-007</v>
      </c>
      <c r="G16" s="9" t="s">
        <v>112</v>
      </c>
    </row>
    <row r="17" customFormat="false" ht="15" hidden="false" customHeight="false" outlineLevel="0" collapsed="false">
      <c r="A17" s="28" t="n">
        <v>13</v>
      </c>
      <c r="B17" s="38" t="n">
        <v>46241</v>
      </c>
      <c r="C17" s="26" t="n">
        <v>21906809</v>
      </c>
      <c r="D17" s="26" t="n">
        <v>1</v>
      </c>
      <c r="E17" s="39" t="n">
        <f aca="false">SUM($D$5:D17)</f>
        <v>36</v>
      </c>
      <c r="F17" s="40" t="n">
        <f aca="false">E17/SUM($C$5:C17)</f>
        <v>1.39028984191061E-007</v>
      </c>
      <c r="G17" s="7" t="s">
        <v>112</v>
      </c>
    </row>
    <row r="18" customFormat="false" ht="15" hidden="false" customHeight="false" outlineLevel="0" collapsed="false">
      <c r="A18" s="31" t="n">
        <v>14</v>
      </c>
      <c r="B18" s="41" t="n">
        <v>46242</v>
      </c>
      <c r="C18" s="29" t="n">
        <v>15890208</v>
      </c>
      <c r="D18" s="29" t="n">
        <v>1</v>
      </c>
      <c r="E18" s="42" t="n">
        <f aca="false">SUM($D$5:D18)</f>
        <v>37</v>
      </c>
      <c r="F18" s="43" t="n">
        <f aca="false">E18/SUM($C$5:C18)</f>
        <v>1.34629159613494E-007</v>
      </c>
      <c r="G18" s="9" t="s">
        <v>113</v>
      </c>
    </row>
    <row r="19" customFormat="false" ht="15" hidden="false" customHeight="false" outlineLevel="0" collapsed="false">
      <c r="A19" s="28" t="n">
        <v>15</v>
      </c>
      <c r="B19" s="38" t="n">
        <v>46243</v>
      </c>
      <c r="C19" s="26" t="n">
        <v>14982196</v>
      </c>
      <c r="D19" s="26" t="n">
        <v>0</v>
      </c>
      <c r="E19" s="39" t="n">
        <f aca="false">SUM($D$5:D19)</f>
        <v>37</v>
      </c>
      <c r="F19" s="40" t="n">
        <f aca="false">E19/SUM($C$5:C19)</f>
        <v>1.27669316980472E-007</v>
      </c>
      <c r="G19" s="7" t="s">
        <v>114</v>
      </c>
    </row>
    <row r="20" customFormat="false" ht="15" hidden="false" customHeight="false" outlineLevel="0" collapsed="false">
      <c r="A20" s="31" t="n">
        <v>16</v>
      </c>
      <c r="B20" s="41" t="n">
        <v>46244</v>
      </c>
      <c r="C20" s="29" t="n">
        <v>21694122</v>
      </c>
      <c r="D20" s="29" t="n">
        <v>0</v>
      </c>
      <c r="E20" s="42" t="n">
        <f aca="false">SUM($D$5:D20)</f>
        <v>37</v>
      </c>
      <c r="F20" s="43" t="n">
        <f aca="false">E20/SUM($C$5:C20)</f>
        <v>1.18778060875477E-007</v>
      </c>
      <c r="G20" s="9" t="s">
        <v>114</v>
      </c>
    </row>
    <row r="21" customFormat="false" ht="15" hidden="false" customHeight="false" outlineLevel="0" collapsed="false">
      <c r="A21" s="28" t="n">
        <v>17</v>
      </c>
      <c r="B21" s="38" t="n">
        <v>46245</v>
      </c>
      <c r="C21" s="26" t="n">
        <v>20417997</v>
      </c>
      <c r="D21" s="26" t="n">
        <v>0</v>
      </c>
      <c r="E21" s="39" t="n">
        <f aca="false">SUM($D$5:D21)</f>
        <v>37</v>
      </c>
      <c r="F21" s="40" t="n">
        <f aca="false">E21/SUM($C$5:C21)</f>
        <v>1.11471523989116E-007</v>
      </c>
      <c r="G21" s="7" t="s">
        <v>114</v>
      </c>
    </row>
    <row r="22" customFormat="false" ht="15" hidden="false" customHeight="false" outlineLevel="0" collapsed="false">
      <c r="A22" s="31" t="n">
        <v>18</v>
      </c>
      <c r="B22" s="41" t="n">
        <v>46246</v>
      </c>
      <c r="C22" s="29" t="n">
        <v>22544872</v>
      </c>
      <c r="D22" s="29" t="n">
        <v>0</v>
      </c>
      <c r="E22" s="42" t="n">
        <f aca="false">SUM($D$5:D22)</f>
        <v>37</v>
      </c>
      <c r="F22" s="43" t="n">
        <f aca="false">E22/SUM($C$5:C22)</f>
        <v>1.04381716806551E-007</v>
      </c>
      <c r="G22" s="9" t="s">
        <v>114</v>
      </c>
    </row>
    <row r="23" customFormat="false" ht="15" hidden="false" customHeight="false" outlineLevel="0" collapsed="false">
      <c r="A23" s="28" t="n">
        <v>19</v>
      </c>
      <c r="B23" s="38" t="n">
        <v>46247</v>
      </c>
      <c r="C23" s="26" t="n">
        <v>20843372</v>
      </c>
      <c r="D23" s="26" t="n">
        <v>0</v>
      </c>
      <c r="E23" s="39" t="n">
        <f aca="false">SUM($D$5:D23)</f>
        <v>37</v>
      </c>
      <c r="F23" s="40" t="n">
        <f aca="false">E23/SUM($C$5:C23)</f>
        <v>9.85847548284675E-008</v>
      </c>
      <c r="G23" s="7" t="s">
        <v>114</v>
      </c>
    </row>
    <row r="24" customFormat="false" ht="15" hidden="false" customHeight="false" outlineLevel="0" collapsed="false">
      <c r="A24" s="31" t="n">
        <v>20</v>
      </c>
      <c r="B24" s="41" t="n">
        <v>46248</v>
      </c>
      <c r="C24" s="29" t="n">
        <v>21481434</v>
      </c>
      <c r="D24" s="29" t="n">
        <v>0</v>
      </c>
      <c r="E24" s="42" t="n">
        <f aca="false">SUM($D$5:D24)</f>
        <v>37</v>
      </c>
      <c r="F24" s="43" t="n">
        <f aca="false">E24/SUM($C$5:C24)</f>
        <v>9.32476096800626E-008</v>
      </c>
      <c r="G24" s="9" t="s">
        <v>114</v>
      </c>
    </row>
    <row r="25" customFormat="false" ht="15" hidden="false" customHeight="false" outlineLevel="0" collapsed="false">
      <c r="A25" s="28" t="n">
        <v>21</v>
      </c>
      <c r="B25" s="38" t="n">
        <v>46249</v>
      </c>
      <c r="C25" s="26" t="n">
        <v>15587538</v>
      </c>
      <c r="D25" s="26" t="n">
        <v>0</v>
      </c>
      <c r="E25" s="39" t="n">
        <f aca="false">SUM($D$5:D25)</f>
        <v>37</v>
      </c>
      <c r="F25" s="40" t="n">
        <f aca="false">E25/SUM($C$5:C25)</f>
        <v>8.97229510709878E-008</v>
      </c>
      <c r="G25" s="7" t="s">
        <v>114</v>
      </c>
    </row>
    <row r="26" customFormat="false" ht="15" hidden="false" customHeight="false" outlineLevel="0" collapsed="false">
      <c r="A26" s="44" t="s">
        <v>115</v>
      </c>
      <c r="B26" s="44"/>
      <c r="C26" s="45" t="n">
        <f aca="false">SUM(C5:C25)</f>
        <v>412380551</v>
      </c>
      <c r="D26" s="45" t="n">
        <f aca="false">SUM(D5:D25)</f>
        <v>37</v>
      </c>
      <c r="E26" s="46"/>
      <c r="F26" s="47" t="n">
        <f aca="false">D26/C26</f>
        <v>8.97229510709878E-008</v>
      </c>
      <c r="G26" s="46"/>
    </row>
    <row r="28" customFormat="false" ht="15" hidden="false" customHeight="false" outlineLevel="0" collapsed="false">
      <c r="A28" s="6" t="s">
        <v>116</v>
      </c>
      <c r="B28" s="6"/>
      <c r="C28" s="6"/>
      <c r="D28" s="48" t="n">
        <f aca="false">EntriesCompared</f>
        <v>412380551</v>
      </c>
    </row>
    <row r="29" customFormat="false" ht="15" hidden="false" customHeight="false" outlineLevel="0" collapsed="false">
      <c r="A29" s="6" t="s">
        <v>117</v>
      </c>
      <c r="B29" s="6"/>
      <c r="C29" s="6"/>
      <c r="D29" s="36" t="str">
        <f aca="false">IF(C26=D28,"OK","MISMATCH")</f>
        <v>OK</v>
      </c>
    </row>
    <row r="30" customFormat="false" ht="15" hidden="false" customHeight="false" outlineLevel="0" collapsed="false">
      <c r="A30" s="6" t="s">
        <v>118</v>
      </c>
      <c r="B30" s="6"/>
      <c r="C30" s="6"/>
      <c r="D30" s="48" t="n">
        <f aca="false">SUM(D19:D25)</f>
        <v>0</v>
      </c>
    </row>
  </sheetData>
  <autoFilter ref="A4:G25"/>
  <mergeCells count="6">
    <mergeCell ref="A1:G1"/>
    <mergeCell ref="A2:G2"/>
    <mergeCell ref="A26:B26"/>
    <mergeCell ref="A28:C28"/>
    <mergeCell ref="A29:C29"/>
    <mergeCell ref="A30:C30"/>
  </mergeCells>
  <conditionalFormatting sqref="D5:D25">
    <cfRule type="colorScale" priority="2">
      <colorScale>
        <cfvo type="num" val="0"/>
        <cfvo type="num" val="5"/>
        <color rgb="FFFFFFFF"/>
        <color rgb="FFE8B4A4"/>
      </colorScale>
    </cfRule>
  </conditionalFormatting>
  <printOptions headings="false" gridLines="false" gridLinesSet="true" horizontalCentered="false" verticalCentered="false"/>
  <pageMargins left="0.5" right="0.5" top="0.6" bottom="0.6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&amp;LLedger Service v3 — Assessment Workbook&amp;R&amp;P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22"/>
  </cols>
  <sheetData>
    <row r="1" customFormat="false" ht="21.75" hidden="false" customHeight="true" outlineLevel="0" collapsed="false">
      <c r="A1" s="1" t="s">
        <v>21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119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5" t="s">
        <v>120</v>
      </c>
      <c r="B4" s="17" t="s">
        <v>121</v>
      </c>
      <c r="C4" s="17" t="s">
        <v>122</v>
      </c>
      <c r="D4" s="17" t="s">
        <v>82</v>
      </c>
      <c r="E4" s="17" t="s">
        <v>123</v>
      </c>
      <c r="F4" s="25" t="s">
        <v>124</v>
      </c>
    </row>
    <row r="5" customFormat="false" ht="15" hidden="false" customHeight="false" outlineLevel="0" collapsed="false">
      <c r="A5" s="7" t="s">
        <v>125</v>
      </c>
      <c r="B5" s="49" t="n">
        <v>18400</v>
      </c>
      <c r="C5" s="49" t="n">
        <v>11900</v>
      </c>
      <c r="D5" s="50" t="n">
        <f aca="false">C5-B5</f>
        <v>-6500</v>
      </c>
      <c r="E5" s="27" t="n">
        <f aca="false">D5/B5</f>
        <v>-0.353260869565217</v>
      </c>
      <c r="F5" s="51" t="s">
        <v>126</v>
      </c>
    </row>
    <row r="6" customFormat="false" ht="15" hidden="false" customHeight="false" outlineLevel="0" collapsed="false">
      <c r="A6" s="9" t="s">
        <v>127</v>
      </c>
      <c r="B6" s="52" t="n">
        <v>7250</v>
      </c>
      <c r="C6" s="52" t="n">
        <v>8900</v>
      </c>
      <c r="D6" s="53" t="n">
        <f aca="false">C6-B6</f>
        <v>1650</v>
      </c>
      <c r="E6" s="30" t="n">
        <f aca="false">D6/B6</f>
        <v>0.227586206896552</v>
      </c>
      <c r="F6" s="54" t="s">
        <v>128</v>
      </c>
    </row>
    <row r="7" customFormat="false" ht="15" hidden="false" customHeight="false" outlineLevel="0" collapsed="false">
      <c r="A7" s="7" t="s">
        <v>129</v>
      </c>
      <c r="B7" s="49" t="n">
        <v>22000</v>
      </c>
      <c r="C7" s="49" t="n">
        <v>22000</v>
      </c>
      <c r="D7" s="50" t="n">
        <f aca="false">C7-B7</f>
        <v>0</v>
      </c>
      <c r="E7" s="27" t="n">
        <f aca="false">D7/B7</f>
        <v>0</v>
      </c>
      <c r="F7" s="51" t="s">
        <v>128</v>
      </c>
    </row>
    <row r="8" customFormat="false" ht="15" hidden="false" customHeight="false" outlineLevel="0" collapsed="false">
      <c r="A8" s="9" t="s">
        <v>130</v>
      </c>
      <c r="B8" s="52" t="n">
        <v>3100</v>
      </c>
      <c r="C8" s="52" t="n">
        <v>4400</v>
      </c>
      <c r="D8" s="53" t="n">
        <f aca="false">C8-B8</f>
        <v>1300</v>
      </c>
      <c r="E8" s="30" t="n">
        <f aca="false">D8/B8</f>
        <v>0.419354838709677</v>
      </c>
      <c r="F8" s="54" t="s">
        <v>128</v>
      </c>
    </row>
    <row r="9" customFormat="false" ht="15" hidden="false" customHeight="false" outlineLevel="0" collapsed="false">
      <c r="A9" s="7" t="s">
        <v>131</v>
      </c>
      <c r="B9" s="49" t="n">
        <v>1860</v>
      </c>
      <c r="C9" s="49" t="n">
        <v>1910</v>
      </c>
      <c r="D9" s="50" t="n">
        <f aca="false">C9-B9</f>
        <v>50</v>
      </c>
      <c r="E9" s="27" t="n">
        <f aca="false">D9/B9</f>
        <v>0.0268817204301075</v>
      </c>
      <c r="F9" s="51" t="s">
        <v>128</v>
      </c>
    </row>
    <row r="10" customFormat="false" ht="15" hidden="false" customHeight="false" outlineLevel="0" collapsed="false">
      <c r="A10" s="9" t="s">
        <v>132</v>
      </c>
      <c r="B10" s="52" t="n">
        <v>2400</v>
      </c>
      <c r="C10" s="52" t="n">
        <v>2750</v>
      </c>
      <c r="D10" s="53" t="n">
        <f aca="false">C10-B10</f>
        <v>350</v>
      </c>
      <c r="E10" s="30" t="n">
        <f aca="false">D10/B10</f>
        <v>0.145833333333333</v>
      </c>
      <c r="F10" s="54" t="s">
        <v>128</v>
      </c>
    </row>
    <row r="11" customFormat="false" ht="15" hidden="false" customHeight="false" outlineLevel="0" collapsed="false">
      <c r="A11" s="44" t="s">
        <v>115</v>
      </c>
      <c r="B11" s="55" t="n">
        <f aca="false">SUM(B5:B10)</f>
        <v>55010</v>
      </c>
      <c r="C11" s="55" t="n">
        <f aca="false">SUM(C5:C10)</f>
        <v>51860</v>
      </c>
      <c r="D11" s="56" t="n">
        <f aca="false">SUM(D5:D10)</f>
        <v>-3150</v>
      </c>
      <c r="E11" s="57" t="n">
        <f aca="false">D11/B11</f>
        <v>-0.0572623159425559</v>
      </c>
      <c r="F11" s="46"/>
    </row>
    <row r="13" customFormat="false" ht="15" hidden="false" customHeight="false" outlineLevel="0" collapsed="false">
      <c r="A13" s="10" t="s">
        <v>133</v>
      </c>
    </row>
    <row r="14" customFormat="false" ht="15" hidden="false" customHeight="false" outlineLevel="0" collapsed="false">
      <c r="A14" s="6" t="s">
        <v>31</v>
      </c>
      <c r="B14" s="7"/>
      <c r="C14" s="24" t="n">
        <f aca="false">-D11</f>
        <v>3150</v>
      </c>
    </row>
    <row r="15" customFormat="false" ht="15" hidden="false" customHeight="false" outlineLevel="0" collapsed="false">
      <c r="A15" s="6" t="s">
        <v>134</v>
      </c>
      <c r="B15" s="7"/>
      <c r="C15" s="58" t="n">
        <f aca="false">MigrationWeeks</f>
        <v>6.5</v>
      </c>
    </row>
    <row r="16" customFormat="false" ht="15" hidden="false" customHeight="false" outlineLevel="0" collapsed="false">
      <c r="A16" s="6" t="s">
        <v>135</v>
      </c>
      <c r="B16" s="7"/>
      <c r="C16" s="24" t="n">
        <f aca="false">CostPerWeek</f>
        <v>6300</v>
      </c>
    </row>
    <row r="17" customFormat="false" ht="15" hidden="false" customHeight="false" outlineLevel="0" collapsed="false">
      <c r="A17" s="6" t="s">
        <v>73</v>
      </c>
      <c r="B17" s="7"/>
      <c r="C17" s="24" t="n">
        <f aca="false">MigrationWeeks*CostPerWeek</f>
        <v>40950</v>
      </c>
    </row>
    <row r="18" customFormat="false" ht="15" hidden="false" customHeight="false" outlineLevel="0" collapsed="false">
      <c r="A18" s="6" t="s">
        <v>136</v>
      </c>
      <c r="B18" s="7"/>
      <c r="C18" s="59" t="n">
        <f aca="false">C17/C14</f>
        <v>13</v>
      </c>
    </row>
    <row r="19" customFormat="false" ht="15" hidden="false" customHeight="false" outlineLevel="0" collapsed="false">
      <c r="A19" s="6" t="s">
        <v>75</v>
      </c>
      <c r="B19" s="7"/>
      <c r="C19" s="24" t="n">
        <f aca="false">WarmFleetDays*WarmFleetDailyCost</f>
        <v>12810</v>
      </c>
    </row>
    <row r="21" customFormat="false" ht="15" hidden="false" customHeight="false" outlineLevel="0" collapsed="false">
      <c r="A21" s="10" t="s">
        <v>137</v>
      </c>
    </row>
    <row r="22" customFormat="false" ht="15" hidden="false" customHeight="false" outlineLevel="0" collapsed="false">
      <c r="A22" s="6" t="s">
        <v>138</v>
      </c>
      <c r="B22" s="7"/>
      <c r="C22" s="27" t="n">
        <f aca="false">VolumeGrowth</f>
        <v>0.22</v>
      </c>
    </row>
    <row r="23" customFormat="false" ht="15" hidden="false" customHeight="false" outlineLevel="0" collapsed="false">
      <c r="A23" s="6" t="s">
        <v>139</v>
      </c>
      <c r="B23" s="7"/>
      <c r="C23" s="24" t="n">
        <f aca="false">SUMIF($F$5:$F$10,"Yes",$B$5:$B$10)*(1+VolumeGrowth)+SUMIF($F$5:$F$10,"No",$B$5:$B$10)</f>
        <v>59058</v>
      </c>
    </row>
    <row r="24" customFormat="false" ht="15" hidden="false" customHeight="false" outlineLevel="0" collapsed="false">
      <c r="A24" s="6" t="s">
        <v>140</v>
      </c>
      <c r="B24" s="7"/>
      <c r="C24" s="24" t="n">
        <f aca="false">SUMIF($F$5:$F$10,"Yes",$C$5:$C$10)*(1+VolumeGrowth)+SUMIF($F$5:$F$10,"No",$C$5:$C$10)</f>
        <v>54478</v>
      </c>
    </row>
    <row r="25" customFormat="false" ht="15" hidden="false" customHeight="false" outlineLevel="0" collapsed="false">
      <c r="A25" s="6" t="s">
        <v>141</v>
      </c>
      <c r="B25" s="7"/>
      <c r="C25" s="24" t="n">
        <f aca="false">C23-C24</f>
        <v>4580</v>
      </c>
    </row>
    <row r="27" customFormat="false" ht="30" hidden="false" customHeight="true" outlineLevel="0" collapsed="false">
      <c r="A27" s="16" t="s">
        <v>142</v>
      </c>
      <c r="B27" s="16"/>
      <c r="C27" s="16"/>
      <c r="D27" s="16"/>
      <c r="E27" s="16"/>
      <c r="F27" s="16"/>
    </row>
  </sheetData>
  <mergeCells count="3">
    <mergeCell ref="A1:F1"/>
    <mergeCell ref="A2:F2"/>
    <mergeCell ref="A27:F27"/>
  </mergeCells>
  <conditionalFormatting sqref="D5:D10">
    <cfRule type="cellIs" priority="2" operator="lessThan" aboveAverage="0" equalAverage="0" bottom="0" percent="0" rank="0" text="" dxfId="13">
      <formula>0</formula>
    </cfRule>
  </conditionalFormatting>
  <dataValidations count="1">
    <dataValidation allowBlank="false" errorStyle="stop" operator="between" prompt="Does this line grow with posting volume?" promptTitle="Scaling" showDropDown="false" showErrorMessage="false" showInputMessage="false" sqref="F5:F10" type="list">
      <formula1>"Yes,No"</formula1>
      <formula2>0</formula2>
    </dataValidation>
  </dataValidations>
  <printOptions headings="false" gridLines="false" gridLinesSet="true" horizontalCentered="false" verticalCentered="false"/>
  <pageMargins left="0.5" right="0.5" top="0.6" bottom="0.6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&amp;LLedger Service v3 — Assessment Workbook&amp;R&amp;P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4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60"/>
  </cols>
  <sheetData>
    <row r="1" customFormat="false" ht="21.75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143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25" t="s">
        <v>144</v>
      </c>
      <c r="B4" s="5" t="s">
        <v>145</v>
      </c>
      <c r="C4" s="25" t="s">
        <v>146</v>
      </c>
      <c r="D4" s="25" t="s">
        <v>147</v>
      </c>
      <c r="E4" s="25" t="s">
        <v>148</v>
      </c>
      <c r="F4" s="25" t="s">
        <v>149</v>
      </c>
      <c r="G4" s="5" t="s">
        <v>150</v>
      </c>
      <c r="H4" s="5" t="s">
        <v>151</v>
      </c>
    </row>
    <row r="5" customFormat="false" ht="15" hidden="false" customHeight="false" outlineLevel="0" collapsed="false">
      <c r="A5" s="60" t="s">
        <v>152</v>
      </c>
      <c r="B5" s="7" t="s">
        <v>153</v>
      </c>
      <c r="C5" s="51" t="n">
        <v>4</v>
      </c>
      <c r="D5" s="51" t="n">
        <v>3</v>
      </c>
      <c r="E5" s="60" t="n">
        <f aca="false">C5*D5</f>
        <v>12</v>
      </c>
      <c r="F5" s="28" t="str">
        <f aca="false">IF(E5&gt;=RiskGateThreshold,"Yes","No")</f>
        <v>Yes</v>
      </c>
      <c r="G5" s="7" t="s">
        <v>154</v>
      </c>
      <c r="H5" s="7" t="s">
        <v>155</v>
      </c>
    </row>
    <row r="6" customFormat="false" ht="15" hidden="false" customHeight="false" outlineLevel="0" collapsed="false">
      <c r="A6" s="61" t="s">
        <v>156</v>
      </c>
      <c r="B6" s="9" t="s">
        <v>157</v>
      </c>
      <c r="C6" s="54" t="n">
        <v>3</v>
      </c>
      <c r="D6" s="54" t="n">
        <v>5</v>
      </c>
      <c r="E6" s="61" t="n">
        <f aca="false">C6*D6</f>
        <v>15</v>
      </c>
      <c r="F6" s="31" t="str">
        <f aca="false">IF(E6&gt;=RiskGateThreshold,"Yes","No")</f>
        <v>Yes</v>
      </c>
      <c r="G6" s="9" t="s">
        <v>158</v>
      </c>
      <c r="H6" s="9" t="s">
        <v>159</v>
      </c>
    </row>
    <row r="7" customFormat="false" ht="15" hidden="false" customHeight="false" outlineLevel="0" collapsed="false">
      <c r="A7" s="60" t="s">
        <v>160</v>
      </c>
      <c r="B7" s="7" t="s">
        <v>161</v>
      </c>
      <c r="C7" s="51" t="n">
        <v>2</v>
      </c>
      <c r="D7" s="51" t="n">
        <v>5</v>
      </c>
      <c r="E7" s="60" t="n">
        <f aca="false">C7*D7</f>
        <v>10</v>
      </c>
      <c r="F7" s="28" t="str">
        <f aca="false">IF(E7&gt;=RiskGateThreshold,"Yes","No")</f>
        <v>No</v>
      </c>
      <c r="G7" s="7" t="s">
        <v>162</v>
      </c>
      <c r="H7" s="7" t="s">
        <v>163</v>
      </c>
    </row>
    <row r="8" customFormat="false" ht="15" hidden="false" customHeight="false" outlineLevel="0" collapsed="false">
      <c r="A8" s="61" t="s">
        <v>164</v>
      </c>
      <c r="B8" s="9" t="s">
        <v>165</v>
      </c>
      <c r="C8" s="54" t="n">
        <v>3</v>
      </c>
      <c r="D8" s="54" t="n">
        <v>5</v>
      </c>
      <c r="E8" s="61" t="n">
        <f aca="false">C8*D8</f>
        <v>15</v>
      </c>
      <c r="F8" s="31" t="str">
        <f aca="false">IF(E8&gt;=RiskGateThreshold,"Yes","No")</f>
        <v>Yes</v>
      </c>
      <c r="G8" s="9" t="s">
        <v>158</v>
      </c>
      <c r="H8" s="9" t="s">
        <v>166</v>
      </c>
    </row>
    <row r="9" customFormat="false" ht="15" hidden="false" customHeight="false" outlineLevel="0" collapsed="false">
      <c r="A9" s="60" t="s">
        <v>167</v>
      </c>
      <c r="B9" s="7" t="s">
        <v>168</v>
      </c>
      <c r="C9" s="51" t="n">
        <v>4</v>
      </c>
      <c r="D9" s="51" t="n">
        <v>2</v>
      </c>
      <c r="E9" s="60" t="n">
        <f aca="false">C9*D9</f>
        <v>8</v>
      </c>
      <c r="F9" s="28" t="str">
        <f aca="false">IF(E9&gt;=RiskGateThreshold,"Yes","No")</f>
        <v>No</v>
      </c>
      <c r="G9" s="7" t="s">
        <v>169</v>
      </c>
      <c r="H9" s="7" t="s">
        <v>170</v>
      </c>
    </row>
    <row r="10" customFormat="false" ht="15" hidden="false" customHeight="false" outlineLevel="0" collapsed="false">
      <c r="A10" s="61" t="s">
        <v>171</v>
      </c>
      <c r="B10" s="9" t="s">
        <v>172</v>
      </c>
      <c r="C10" s="54" t="n">
        <v>3</v>
      </c>
      <c r="D10" s="54" t="n">
        <v>3</v>
      </c>
      <c r="E10" s="61" t="n">
        <f aca="false">C10*D10</f>
        <v>9</v>
      </c>
      <c r="F10" s="31" t="str">
        <f aca="false">IF(E10&gt;=RiskGateThreshold,"Yes","No")</f>
        <v>No</v>
      </c>
      <c r="G10" s="9" t="s">
        <v>154</v>
      </c>
      <c r="H10" s="9" t="s">
        <v>173</v>
      </c>
    </row>
    <row r="12" customFormat="false" ht="15" hidden="false" customHeight="false" outlineLevel="0" collapsed="false">
      <c r="A12" s="6" t="s">
        <v>174</v>
      </c>
      <c r="B12" s="6"/>
      <c r="C12" s="28" t="n">
        <f aca="false">MAX(E5:E10)</f>
        <v>15</v>
      </c>
    </row>
    <row r="13" customFormat="false" ht="15" hidden="false" customHeight="false" outlineLevel="0" collapsed="false">
      <c r="A13" s="6" t="s">
        <v>33</v>
      </c>
      <c r="B13" s="6"/>
      <c r="C13" s="28" t="n">
        <f aca="false">COUNTIF(F5:F10,"Yes")</f>
        <v>3</v>
      </c>
    </row>
    <row r="14" customFormat="false" ht="15" hidden="false" customHeight="false" outlineLevel="0" collapsed="false">
      <c r="A14" s="6" t="s">
        <v>175</v>
      </c>
      <c r="B14" s="6"/>
      <c r="C14" s="62" t="n">
        <f aca="false">RiskGateThreshold</f>
        <v>12</v>
      </c>
    </row>
  </sheetData>
  <mergeCells count="5">
    <mergeCell ref="A1:H1"/>
    <mergeCell ref="A2:H2"/>
    <mergeCell ref="A12:B12"/>
    <mergeCell ref="A13:B13"/>
    <mergeCell ref="A14:B14"/>
  </mergeCells>
  <conditionalFormatting sqref="E5:E10">
    <cfRule type="colorScale" priority="2">
      <colorScale>
        <cfvo type="num" val="1"/>
        <cfvo type="num" val="12"/>
        <cfvo type="num" val="25"/>
        <color rgb="FFDCE9E7"/>
        <color rgb="FFF2DFA8"/>
        <color rgb="FFE8B4A4"/>
      </colorScale>
    </cfRule>
  </conditionalFormatting>
  <conditionalFormatting sqref="A5:H10">
    <cfRule type="expression" priority="3" aboveAverage="0" equalAverage="0" bottom="0" percent="0" rank="0" text="" dxfId="14">
      <formula>$E5&gt;=12</formula>
    </cfRule>
  </conditionalFormatting>
  <dataValidations count="1">
    <dataValidation allowBlank="false" error="Likelihood and impact are scored 1 to 5." errorStyle="stop" errorTitle="Out of range" operator="between" showDropDown="false" showErrorMessage="false" showInputMessage="false" sqref="C5:D10" type="whole">
      <formula1>1</formula1>
      <formula2>5</formula2>
    </dataValidation>
  </dataValidations>
  <printOptions headings="false" gridLines="false" gridLinesSet="true" horizontalCentered="false" verticalCentered="false"/>
  <pageMargins left="0.5" right="0.5" top="0.6" bottom="0.6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&amp;LLedger Service v3 — Assessment Workbook&amp;R&amp;P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21.75" hidden="false" customHeight="true" outlineLevel="0" collapsed="false">
      <c r="A1" s="1" t="s">
        <v>176</v>
      </c>
      <c r="B1" s="1"/>
      <c r="C1" s="1"/>
      <c r="D1" s="1"/>
    </row>
    <row r="2" customFormat="false" ht="15" hidden="false" customHeight="false" outlineLevel="0" collapsed="false">
      <c r="A2" s="2" t="s">
        <v>177</v>
      </c>
      <c r="B2" s="2"/>
      <c r="C2" s="2"/>
      <c r="D2" s="2"/>
    </row>
    <row r="4" customFormat="false" ht="27.75" hidden="false" customHeight="true" outlineLevel="0" collapsed="false">
      <c r="A4" s="5" t="s">
        <v>178</v>
      </c>
      <c r="B4" s="5" t="s">
        <v>150</v>
      </c>
      <c r="C4" s="25" t="s">
        <v>179</v>
      </c>
      <c r="D4" s="5" t="s">
        <v>180</v>
      </c>
    </row>
    <row r="5" customFormat="false" ht="15" hidden="false" customHeight="false" outlineLevel="0" collapsed="false">
      <c r="A5" s="7" t="s">
        <v>181</v>
      </c>
      <c r="B5" s="7" t="s">
        <v>169</v>
      </c>
      <c r="C5" s="51" t="s">
        <v>182</v>
      </c>
      <c r="D5" s="7" t="s">
        <v>183</v>
      </c>
    </row>
    <row r="6" customFormat="false" ht="15" hidden="false" customHeight="false" outlineLevel="0" collapsed="false">
      <c r="A6" s="9" t="s">
        <v>184</v>
      </c>
      <c r="B6" s="9" t="s">
        <v>154</v>
      </c>
      <c r="C6" s="54" t="s">
        <v>182</v>
      </c>
      <c r="D6" s="9" t="s">
        <v>185</v>
      </c>
    </row>
    <row r="7" customFormat="false" ht="15" hidden="false" customHeight="false" outlineLevel="0" collapsed="false">
      <c r="A7" s="7" t="s">
        <v>186</v>
      </c>
      <c r="B7" s="7" t="s">
        <v>158</v>
      </c>
      <c r="C7" s="51" t="s">
        <v>187</v>
      </c>
      <c r="D7" s="7" t="s">
        <v>188</v>
      </c>
    </row>
    <row r="8" customFormat="false" ht="15" hidden="false" customHeight="false" outlineLevel="0" collapsed="false">
      <c r="A8" s="9" t="s">
        <v>189</v>
      </c>
      <c r="B8" s="9" t="s">
        <v>169</v>
      </c>
      <c r="C8" s="54" t="s">
        <v>190</v>
      </c>
      <c r="D8" s="9" t="s">
        <v>191</v>
      </c>
    </row>
    <row r="9" customFormat="false" ht="15" hidden="false" customHeight="false" outlineLevel="0" collapsed="false">
      <c r="A9" s="7" t="s">
        <v>192</v>
      </c>
      <c r="B9" s="7" t="s">
        <v>162</v>
      </c>
      <c r="C9" s="51" t="s">
        <v>182</v>
      </c>
      <c r="D9" s="7" t="s">
        <v>193</v>
      </c>
    </row>
    <row r="10" customFormat="false" ht="15" hidden="false" customHeight="false" outlineLevel="0" collapsed="false">
      <c r="A10" s="9" t="s">
        <v>194</v>
      </c>
      <c r="B10" s="9" t="s">
        <v>154</v>
      </c>
      <c r="C10" s="54" t="s">
        <v>182</v>
      </c>
      <c r="D10" s="9" t="s">
        <v>195</v>
      </c>
    </row>
    <row r="12" customFormat="false" ht="15" hidden="false" customHeight="false" outlineLevel="0" collapsed="false">
      <c r="A12" s="6" t="s">
        <v>196</v>
      </c>
      <c r="B12" s="6"/>
      <c r="C12" s="28" t="n">
        <f aca="false">COUNTA(A5:A10)</f>
        <v>6</v>
      </c>
    </row>
    <row r="13" customFormat="false" ht="15" hidden="false" customHeight="false" outlineLevel="0" collapsed="false">
      <c r="A13" s="6" t="s">
        <v>182</v>
      </c>
      <c r="B13" s="6"/>
      <c r="C13" s="28" t="n">
        <f aca="false">COUNTIF(C5:C10,"Complete")</f>
        <v>4</v>
      </c>
    </row>
    <row r="14" customFormat="false" ht="15" hidden="false" customHeight="false" outlineLevel="0" collapsed="false">
      <c r="A14" s="6" t="s">
        <v>190</v>
      </c>
      <c r="B14" s="6"/>
      <c r="C14" s="28" t="n">
        <f aca="false">COUNTIF(C5:C10,"In progress")</f>
        <v>1</v>
      </c>
    </row>
    <row r="15" customFormat="false" ht="15" hidden="false" customHeight="false" outlineLevel="0" collapsed="false">
      <c r="A15" s="6" t="s">
        <v>187</v>
      </c>
      <c r="B15" s="6"/>
      <c r="C15" s="28" t="n">
        <f aca="false">COUNTIF(C5:C10,"Not started")</f>
        <v>1</v>
      </c>
    </row>
    <row r="16" customFormat="false" ht="15" hidden="false" customHeight="false" outlineLevel="0" collapsed="false">
      <c r="A16" s="6" t="s">
        <v>197</v>
      </c>
      <c r="B16" s="6"/>
      <c r="C16" s="63" t="n">
        <f aca="false">C13/C12</f>
        <v>0.666666666666667</v>
      </c>
    </row>
    <row r="18" customFormat="false" ht="30" hidden="false" customHeight="true" outlineLevel="0" collapsed="false">
      <c r="A18" s="16" t="s">
        <v>198</v>
      </c>
      <c r="B18" s="16"/>
      <c r="C18" s="16"/>
      <c r="D18" s="16"/>
    </row>
  </sheetData>
  <mergeCells count="8">
    <mergeCell ref="A1:D1"/>
    <mergeCell ref="A2:D2"/>
    <mergeCell ref="A12:B12"/>
    <mergeCell ref="A13:B13"/>
    <mergeCell ref="A14:B14"/>
    <mergeCell ref="A15:B15"/>
    <mergeCell ref="A16:B16"/>
    <mergeCell ref="A18:D18"/>
  </mergeCells>
  <conditionalFormatting sqref="C5:C10">
    <cfRule type="expression" priority="2" aboveAverage="0" equalAverage="0" bottom="0" percent="0" rank="0" text="" dxfId="13">
      <formula>$C5="Complete"</formula>
    </cfRule>
    <cfRule type="expression" priority="3" aboveAverage="0" equalAverage="0" bottom="0" percent="0" rank="0" text="" dxfId="0">
      <formula>$C5="Not started"</formula>
    </cfRule>
  </conditionalFormatting>
  <dataValidations count="1">
    <dataValidation allowBlank="false" errorStyle="stop" operator="between" prompt="Complete, In progress or Not started." promptTitle="Status" showDropDown="false" showErrorMessage="false" showInputMessage="false" sqref="C5:C10" type="list">
      <formula1>"Complete,In progress,Not started"</formula1>
      <formula2>0</formula2>
    </dataValidation>
  </dataValidations>
  <printOptions headings="false" gridLines="false" gridLinesSet="true" horizontalCentered="false" verticalCentered="false"/>
  <pageMargins left="0.5" right="0.5" top="0.6" bottom="0.6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&amp;LLedger Service v3 — Assessment Workbook&amp;R&amp;P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2026-08-26T21:33:44Z</dcterms:created>
  <dc:creator>openpyxl</dc:creator>
  <dc:description/>
  <dc:language>en-US</dc:language>
  <cp:lastModifiedBy/>
  <dcterms:modified xsi:type="dcterms:W3CDTF">2026-08-26T23:33:45Z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